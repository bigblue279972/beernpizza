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Settings" sheetId="3" state="visible" r:id="rId3"/>
    <sheet xmlns:r="http://schemas.openxmlformats.org/officeDocument/2006/relationships" name="Pre-Buy Gate" sheetId="4" state="visible" r:id="rId4"/>
    <sheet xmlns:r="http://schemas.openxmlformats.org/officeDocument/2006/relationships" name="Transactions" sheetId="5" state="visible" r:id="rId5"/>
    <sheet xmlns:r="http://schemas.openxmlformats.org/officeDocument/2006/relationships" name="Dividends" sheetId="6" state="visible" r:id="rId6"/>
    <sheet xmlns:r="http://schemas.openxmlformats.org/officeDocument/2006/relationships" name="Prices" sheetId="7" state="visible" r:id="rId7"/>
    <sheet xmlns:r="http://schemas.openxmlformats.org/officeDocument/2006/relationships" name="Holdings" sheetId="8" state="visible" r:id="rId8"/>
  </sheets>
  <definedNames/>
  <calcPr calcId="124519" fullCalcOnLoad="1"/>
</workbook>
</file>

<file path=xl/styles.xml><?xml version="1.0" encoding="utf-8"?>
<styleSheet xmlns="http://schemas.openxmlformats.org/spreadsheetml/2006/main">
  <numFmts count="4">
    <numFmt numFmtId="164" formatCode="DD/MM/YYYY"/>
    <numFmt numFmtId="165" formatCode="&quot;$&quot;#,##0.00;[Red]-&quot;$&quot;#,##0.00"/>
    <numFmt numFmtId="166" formatCode="$#,##0.0000"/>
    <numFmt numFmtId="167" formatCode="0.####"/>
  </numFmts>
  <fonts count="8">
    <font>
      <name val="Calibri"/>
      <family val="2"/>
      <color theme="1"/>
      <sz val="11"/>
      <scheme val="minor"/>
    </font>
    <font>
      <b val="1"/>
      <color rgb="001F3864"/>
      <sz val="16"/>
    </font>
    <font>
      <i val="1"/>
      <color rgb="00595959"/>
    </font>
    <font>
      <b val="1"/>
      <color rgb="001F3864"/>
    </font>
    <font>
      <b val="1"/>
    </font>
    <font>
      <b val="1"/>
      <color rgb="00FFFFFF"/>
    </font>
    <font>
      <b val="1"/>
      <sz val="14"/>
    </font>
    <font>
      <b val="1"/>
      <color rgb="001F3864"/>
      <sz val="12"/>
    </font>
  </fonts>
  <fills count="5">
    <fill>
      <patternFill/>
    </fill>
    <fill>
      <patternFill patternType="gray125"/>
    </fill>
    <fill>
      <patternFill patternType="solid">
        <fgColor rgb="00FFF2CC"/>
      </patternFill>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7" fillId="0" borderId="0" pivotButton="0" quotePrefix="0" xfId="0"/>
    <xf numFmtId="165" fontId="0" fillId="4" borderId="1" pivotButton="0" quotePrefix="0" xfId="0"/>
    <xf numFmtId="0" fontId="0" fillId="0" borderId="0" applyAlignment="1" pivotButton="0" quotePrefix="0" xfId="0">
      <alignment vertical="top" wrapText="1"/>
    </xf>
    <xf numFmtId="10" fontId="0" fillId="4" borderId="1" pivotButton="0" quotePrefix="0" xfId="0"/>
    <xf numFmtId="1" fontId="0" fillId="4" borderId="1" pivotButton="0" quotePrefix="0" xfId="0"/>
    <xf numFmtId="0" fontId="4" fillId="0" borderId="0" pivotButton="0" quotePrefix="0" xfId="0"/>
    <xf numFmtId="0" fontId="0" fillId="2" borderId="1" pivotButton="0" quotePrefix="0" xfId="0"/>
    <xf numFmtId="164" fontId="0" fillId="2" borderId="1" pivotButton="0" quotePrefix="0" xfId="0"/>
    <xf numFmtId="165" fontId="0" fillId="2" borderId="1" pivotButton="0" quotePrefix="0" xfId="0"/>
    <xf numFmtId="10" fontId="0" fillId="2" borderId="1" pivotButton="0" quotePrefix="0" xfId="0"/>
    <xf numFmtId="0" fontId="5" fillId="3" borderId="1" pivotButton="0" quotePrefix="0" xfId="0"/>
    <xf numFmtId="9" fontId="0" fillId="2" borderId="1" pivotButton="0" quotePrefix="0" xfId="0"/>
    <xf numFmtId="9" fontId="0" fillId="4" borderId="0"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165" fontId="0" fillId="2" borderId="1" applyAlignment="1" pivotButton="0" quotePrefix="0" xfId="0">
      <alignment vertical="top" wrapText="1"/>
    </xf>
    <xf numFmtId="0" fontId="0" fillId="4" borderId="1" applyAlignment="1" pivotButton="0" quotePrefix="0" xfId="0">
      <alignment vertical="top" wrapText="1"/>
    </xf>
    <xf numFmtId="0" fontId="4" fillId="4" borderId="1" applyAlignment="1" pivotButton="0" quotePrefix="0" xfId="0">
      <alignment vertical="top" wrapText="1"/>
    </xf>
    <xf numFmtId="10" fontId="0" fillId="4" borderId="1" applyAlignment="1" pivotButton="0" quotePrefix="0" xfId="0">
      <alignment vertical="top" wrapText="1"/>
    </xf>
    <xf numFmtId="0" fontId="6" fillId="0" borderId="0" pivotButton="0" quotePrefix="0" xfId="0"/>
    <xf numFmtId="0" fontId="5" fillId="3" borderId="1" applyAlignment="1" pivotButton="0" quotePrefix="0" xfId="0">
      <alignment vertical="center" wrapText="1"/>
    </xf>
    <xf numFmtId="164" fontId="0" fillId="2" borderId="0" pivotButton="0" quotePrefix="0" xfId="0"/>
    <xf numFmtId="0" fontId="0" fillId="2" borderId="0" pivotButton="0" quotePrefix="0" xfId="0"/>
    <xf numFmtId="166" fontId="0" fillId="2" borderId="0" pivotButton="0" quotePrefix="0" xfId="0"/>
    <xf numFmtId="165" fontId="0" fillId="2" borderId="0" pivotButton="0" quotePrefix="0" xfId="0"/>
    <xf numFmtId="165" fontId="0" fillId="4" borderId="0" pivotButton="0" quotePrefix="0" xfId="0"/>
    <xf numFmtId="10" fontId="0" fillId="4" borderId="0" pivotButton="0" quotePrefix="0" xfId="0"/>
    <xf numFmtId="9" fontId="0" fillId="2" borderId="0" pivotButton="0" quotePrefix="0" xfId="0"/>
    <xf numFmtId="0" fontId="0" fillId="4" borderId="0" pivotButton="0" quotePrefix="0" xfId="0"/>
    <xf numFmtId="0" fontId="0" fillId="4" borderId="1" pivotButton="0" quotePrefix="0" xfId="0"/>
    <xf numFmtId="167" fontId="0" fillId="4" borderId="1" pivotButton="0" quotePrefix="0" xfId="0"/>
    <xf numFmtId="166" fontId="0" fillId="4" borderId="1" pivotButton="0" quotePrefix="0" xfId="0"/>
    <xf numFmtId="9" fontId="0" fillId="4" borderId="1" pivotButton="0" quotePrefix="0" xfId="0"/>
    <xf numFmtId="165" fontId="4" fillId="0" borderId="0" pivotButton="0" quotePrefix="0" xfId="0"/>
    <xf numFmtId="10" fontId="4" fillId="0" borderId="0" pivotButton="0" quotePrefix="0" xfId="0"/>
  </cellXfs>
  <cellStyles count="1">
    <cellStyle name="Normal" xfId="0" builtinId="0" hidden="0"/>
  </cellStyles>
  <dxfs count="2">
    <dxf>
      <fill>
        <patternFill patternType="solid">
          <fgColor rgb="00FFC7CE"/>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20" customWidth="1" min="1" max="1"/>
  </cols>
  <sheetData>
    <row r="1">
      <c r="A1" s="1" t="inlineStr">
        <is>
          <t>Share Tracker - read this first</t>
        </is>
      </c>
    </row>
    <row r="2">
      <c r="A2" s="2" t="inlineStr">
        <is>
          <t>Not financial advice. Built by an AI assistant, not a licensed financial adviser.</t>
        </is>
      </c>
    </row>
    <row r="3">
      <c r="A3" t="inlineStr"/>
    </row>
    <row r="4">
      <c r="A4" s="3" t="inlineStr">
        <is>
          <t>COLOURS</t>
        </is>
      </c>
    </row>
    <row r="5">
      <c r="A5" t="inlineStr">
        <is>
          <t xml:space="preserve">  Yellow cells = you type here.   Green cells = calculated automatically - don't type over them.</t>
        </is>
      </c>
    </row>
    <row r="6">
      <c r="A6" t="inlineStr"/>
    </row>
    <row r="7">
      <c r="A7" s="3" t="inlineStr">
        <is>
          <t>THE 5 SHEETS YOU USE</t>
        </is>
      </c>
    </row>
    <row r="8">
      <c r="A8" t="inlineStr">
        <is>
          <t xml:space="preserve">  1. Settings      - fill in once (your names, brokerage cost, target mix). Change only after a planned review.</t>
        </is>
      </c>
    </row>
    <row r="9">
      <c r="A9" t="inlineStr">
        <is>
          <t xml:space="preserve">  2. Pre-Buy Gate  - fill in BEFORE every buy or sell. If the result says STOP, you don't place the order.</t>
        </is>
      </c>
    </row>
    <row r="10">
      <c r="A10" t="inlineStr">
        <is>
          <t xml:space="preserve">  3. Transactions  - one row for every buy or sell, copied from your broker's confirmation email.</t>
        </is>
      </c>
    </row>
    <row r="11">
      <c r="A11" t="inlineStr">
        <is>
          <t xml:space="preserve">  4. Dividends     - one row for every dividend/distribution paid (they arrive in your bank account or as extra units).</t>
        </is>
      </c>
    </row>
    <row r="12">
      <c r="A12" t="inlineStr">
        <is>
          <t xml:space="preserve">  5. Prices        - once a month (e.g. first Sunday), type today's price for each fund you own.</t>
        </is>
      </c>
    </row>
    <row r="13">
      <c r="A13" t="inlineStr"/>
    </row>
    <row r="14">
      <c r="A14" s="3" t="inlineStr">
        <is>
          <t>THE 2 SHEETS YOU READ</t>
        </is>
      </c>
    </row>
    <row r="15">
      <c r="A15" t="inlineStr">
        <is>
          <t xml:space="preserve">  Holdings   - what you own, what it cost, what it's worth, and whether your mix has drifted from target.</t>
        </is>
      </c>
    </row>
    <row r="16">
      <c r="A16" t="inlineStr">
        <is>
          <t xml:space="preserve">  Dashboard  - the scorecard. The number that matters is 'You vs doing nothing clever' (see below).</t>
        </is>
      </c>
    </row>
    <row r="17">
      <c r="A17" t="inlineStr"/>
    </row>
    <row r="18">
      <c r="A18" s="3" t="inlineStr">
        <is>
          <t>THE SCORECARD (this is your Closing Line Value for shares)</t>
        </is>
      </c>
    </row>
    <row r="19">
      <c r="A19" t="inlineStr">
        <is>
          <t xml:space="preserve">  In betting, CLV tells you if your process beats the market, regardless of one result.</t>
        </is>
      </c>
    </row>
    <row r="20">
      <c r="A20" t="inlineStr">
        <is>
          <t xml:space="preserve">  In investing the equivalent is: did my portfolio, after ALL fees, keep up with simply holding the benchmark fund?</t>
        </is>
      </c>
    </row>
    <row r="21">
      <c r="A21" t="inlineStr">
        <is>
          <t xml:space="preserve">  Never judge a month by whether the value went up or down - markets fall 10-20% regularly and that is normal.</t>
        </is>
      </c>
    </row>
    <row r="22">
      <c r="A22" t="inlineStr">
        <is>
          <t xml:space="preserve">  Judge the process: (a) costs kept under 1% of each purchase, (b) every trade passed the Gate, (c) mix stays near target.</t>
        </is>
      </c>
    </row>
    <row r="23">
      <c r="A23" t="inlineStr"/>
    </row>
    <row r="24">
      <c r="A24" s="3" t="inlineStr">
        <is>
          <t>THE RULES (write them on paper too)</t>
        </is>
      </c>
    </row>
    <row r="25">
      <c r="A25" t="inlineStr">
        <is>
          <t xml:space="preserve">  R1. No buying or selling outside the monthly routine, except the yearly rebalance.</t>
        </is>
      </c>
    </row>
    <row r="26">
      <c r="A26" t="inlineStr">
        <is>
          <t xml:space="preserve">  R2. Never sell because the market dropped. Falls are expected; selling locks in the loss.</t>
        </is>
      </c>
    </row>
    <row r="27">
      <c r="A27" t="inlineStr">
        <is>
          <t xml:space="preserve">  R3. No single company shares, tips, forums, crypto, CFDs, options or 'trading courses' in Year 1.</t>
        </is>
      </c>
    </row>
    <row r="28">
      <c r="A28" t="inlineStr">
        <is>
          <t xml:space="preserve">  R4. Only invest money you won't need for at least 5 years. Keep an emergency fund in a savings account first.</t>
        </is>
      </c>
    </row>
    <row r="29">
      <c r="A29" t="inlineStr">
        <is>
          <t xml:space="preserve">  R5. Every order must pass the Pre-Buy Gate. Brokerage must be under 1% of the order.</t>
        </is>
      </c>
    </row>
    <row r="30">
      <c r="A30" t="inlineStr"/>
    </row>
    <row r="31">
      <c r="A31" s="3" t="inlineStr">
        <is>
          <t>MONTHLY ROUTINE (about 15 minutes)</t>
        </is>
      </c>
    </row>
    <row r="32">
      <c r="A32" t="inlineStr">
        <is>
          <t xml:space="preserve">  1. Prices sheet: type the latest price for each fund (from your broker app).</t>
        </is>
      </c>
    </row>
    <row r="33">
      <c r="A33" t="inlineStr">
        <is>
          <t xml:space="preserve">  2. If you're adding money this month: fill the Pre-Buy Gate, then buy, then log it in Transactions.</t>
        </is>
      </c>
    </row>
    <row r="34">
      <c r="A34" t="inlineStr">
        <is>
          <t xml:space="preserve">  3. Log any dividends received in Dividends.</t>
        </is>
      </c>
    </row>
    <row r="35">
      <c r="A35" t="inlineStr">
        <is>
          <t xml:space="preserve">  4. Look at the Dashboard. Do nothing else.</t>
        </is>
      </c>
    </row>
    <row r="36">
      <c r="A36" t="inlineStr"/>
    </row>
    <row r="37">
      <c r="A37" s="3" t="inlineStr">
        <is>
          <t>TAX TIME (July)</t>
        </is>
      </c>
    </row>
    <row r="38">
      <c r="A38" t="inlineStr">
        <is>
          <t xml:space="preserve">  Your broker/fund sends an 'AMMA' or 'Annual Tax Statement' for each ETF. Give those to your tax agent or enter them in myTax.</t>
        </is>
      </c>
    </row>
    <row r="39">
      <c r="A39" t="inlineStr">
        <is>
          <t xml:space="preserve">  The Dividends sheet totals cash + franking credits per financial year as a cross-check.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52" customWidth="1" min="1" max="1"/>
    <col width="20" customWidth="1" min="2" max="2"/>
    <col width="70" customWidth="1" min="3" max="3"/>
  </cols>
  <sheetData>
    <row r="1">
      <c r="A1" s="1" t="inlineStr">
        <is>
          <t>Dashboard</t>
        </is>
      </c>
    </row>
    <row r="2">
      <c r="A2" s="2" t="inlineStr">
        <is>
          <t>Read-only. Judge the PROCESS, not this month's price.</t>
        </is>
      </c>
    </row>
    <row r="4">
      <c r="A4" s="4" t="inlineStr">
        <is>
          <t>MONEY</t>
        </is>
      </c>
    </row>
    <row r="5">
      <c r="A5" t="inlineStr">
        <is>
          <t>Total cash put in (buys incl. brokerage)</t>
        </is>
      </c>
      <c r="B5" s="5">
        <f>-SUMIF(Transactions!$C$5:$C$504,"Buy",Transactions!$G$5:$G$504)</f>
        <v/>
      </c>
      <c r="C5" s="6" t="inlineStr"/>
    </row>
    <row r="6">
      <c r="A6" t="inlineStr">
        <is>
          <t>Total cash taken out (sells after brokerage)</t>
        </is>
      </c>
      <c r="B6" s="5">
        <f>SUMIF(Transactions!$C$5:$C$504,"Sell",Transactions!$G$5:$G$504)</f>
        <v/>
      </c>
      <c r="C6" s="6" t="inlineStr"/>
    </row>
    <row r="7">
      <c r="A7" t="inlineStr">
        <is>
          <t>Current market value</t>
        </is>
      </c>
      <c r="B7" s="5">
        <f>Holdings!F16</f>
        <v/>
      </c>
      <c r="C7" s="6" t="inlineStr">
        <is>
          <t>Only as fresh as your last Prices update.</t>
        </is>
      </c>
    </row>
    <row r="8">
      <c r="A8" t="inlineStr">
        <is>
          <t>Dividends received (cash)</t>
        </is>
      </c>
      <c r="B8" s="5">
        <f>SUM(Dividends!$C$5:$C$504)</f>
        <v/>
      </c>
      <c r="C8" s="6" t="inlineStr">
        <is>
          <t>Includes reinvested amounts.</t>
        </is>
      </c>
    </row>
    <row r="9">
      <c r="A9" t="inlineStr">
        <is>
          <t>Franking credits earned</t>
        </is>
      </c>
      <c r="B9" s="5">
        <f>SUM(Dividends!$E$5:$E$504)</f>
        <v/>
      </c>
      <c r="C9" s="6" t="inlineStr">
        <is>
          <t>A tax credit, claimed at tax time. Can be refunded if your tax is low.</t>
        </is>
      </c>
    </row>
    <row r="10">
      <c r="A10" t="inlineStr">
        <is>
          <t>Total gain (value + money out + dividends - money in)</t>
        </is>
      </c>
      <c r="B10" s="5">
        <f>B7+B6+B8-B5</f>
        <v/>
      </c>
      <c r="C10" s="6" t="inlineStr">
        <is>
          <t>Includes dividends, so this is your true total return in dollars.</t>
        </is>
      </c>
    </row>
    <row r="11">
      <c r="A11" t="inlineStr">
        <is>
          <t>Total gain % on money put in</t>
        </is>
      </c>
      <c r="B11" s="7">
        <f>IF(B5=0,"",B10/B5)</f>
        <v/>
      </c>
      <c r="C11" s="6" t="inlineStr"/>
    </row>
    <row r="13">
      <c r="A13" s="4" t="inlineStr">
        <is>
          <t>PROCESS SCORECARD (this is what you grade yourself on)</t>
        </is>
      </c>
    </row>
    <row r="14">
      <c r="A14" t="inlineStr">
        <is>
          <t>Total brokerage paid</t>
        </is>
      </c>
      <c r="B14" s="5">
        <f>SUM(Transactions!$F$5:$F$504)</f>
        <v/>
      </c>
      <c r="C14" s="6" t="inlineStr"/>
    </row>
    <row r="15">
      <c r="A15" t="inlineStr">
        <is>
          <t>Brokerage as % of all money invested</t>
        </is>
      </c>
      <c r="B15" s="7">
        <f>IF(B5=0,"",B14/B5)</f>
        <v/>
      </c>
      <c r="C15" s="6" t="inlineStr">
        <is>
          <t>Target: under 0.5% overall. Above 1% = trading too often in small amounts.</t>
        </is>
      </c>
    </row>
    <row r="16">
      <c r="A16" t="inlineStr">
        <is>
          <t>Number of trades</t>
        </is>
      </c>
      <c r="B16" s="8">
        <f>COUNTIF(Transactions!$C$5:$C$504,"Buy")+COUNTIF(Transactions!$C$5:$C$504,"Sell")</f>
        <v/>
      </c>
      <c r="C16" s="6" t="inlineStr"/>
    </row>
    <row r="17">
      <c r="A17" t="inlineStr">
        <is>
          <t>Trades that did NOT pass the Gate</t>
        </is>
      </c>
      <c r="B17" s="8">
        <f>COUNTIF(Transactions!$I$5:$I$504,"N")</f>
        <v/>
      </c>
      <c r="C17" s="6" t="inlineStr">
        <is>
          <t>Target: 0. Every one of these is a process failure even if it made money.</t>
        </is>
      </c>
    </row>
    <row r="18">
      <c r="A18" t="inlineStr">
        <is>
          <t>Sells</t>
        </is>
      </c>
      <c r="B18" s="8">
        <f>COUNTIF(Transactions!$C$5:$C$504,"Sell")</f>
        <v/>
      </c>
      <c r="C18" s="6" t="inlineStr">
        <is>
          <t>In Years 1-3 this should be 0 or 1 (rebalance only).</t>
        </is>
      </c>
    </row>
    <row r="19">
      <c r="A19" t="inlineStr">
        <is>
          <t>Largest drift from target mix</t>
        </is>
      </c>
      <c r="B19" s="7">
        <f>MAX(MAX(Holdings!K5:K14),-MIN(Holdings!K5:K14))</f>
        <v/>
      </c>
      <c r="C19" s="6" t="inlineStr">
        <is>
          <t>Under 5% is fine.</t>
        </is>
      </c>
    </row>
    <row r="21">
      <c r="A21" s="4" t="inlineStr">
        <is>
          <t>REALITY CHECK - what 'income' this produces</t>
        </is>
      </c>
    </row>
    <row r="22">
      <c r="A22" t="inlineStr">
        <is>
          <t>Value x 3.5% (rough yearly distribution estimate)</t>
        </is>
      </c>
      <c r="B22" s="5">
        <f>B7*0.035</f>
        <v/>
      </c>
      <c r="C22" s="6" t="inlineStr">
        <is>
          <t>ASX 200 cash yield has recently been ~3.3-3.5%. Diversified ETFs often lower. An estimate, not a promise.</t>
        </is>
      </c>
    </row>
    <row r="23">
      <c r="A23" t="inlineStr">
        <is>
          <t>Per week</t>
        </is>
      </c>
      <c r="B23" s="5">
        <f>B22/52</f>
        <v/>
      </c>
      <c r="C23" s="6" t="inlineStr">
        <is>
          <t>This is why contributions matter far more than picking.</t>
        </is>
      </c>
    </row>
    <row r="26" ht="30" customHeight="1">
      <c r="A26" s="6" t="inlineStr">
        <is>
          <t>Reinvested dividends (DRP): enter the payment in Dividends AND the new units in Transactions as a Buy with brokerage 0 and price = cash / units. The gain line stays correct; 'Total cash put in' will then include reinvested money as well as your own deposits.</t>
        </is>
      </c>
    </row>
    <row r="27"/>
    <row r="28"/>
  </sheetData>
  <mergeCells count="1">
    <mergeCell ref="A26:C28"/>
  </mergeCells>
  <conditionalFormatting sqref="B15">
    <cfRule type="expression" priority="1" dxfId="0">
      <formula>AND(B15&lt;&gt;"",B15&gt;0.01)</formula>
    </cfRule>
    <cfRule type="expression" priority="2" dxfId="1">
      <formula>AND(B15&lt;&gt;"",B15&lt;=0.005)</formula>
    </cfRule>
  </conditionalFormatting>
  <conditionalFormatting sqref="B17">
    <cfRule type="cellIs" priority="3" operator="greaterThan" dxfId="0">
      <formula>0</formula>
    </cfRule>
    <cfRule type="cellIs" priority="4" operator="equal"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2" customWidth="1" min="1" max="1"/>
    <col width="18" customWidth="1" min="2" max="2"/>
    <col width="70" customWidth="1" min="3" max="3"/>
  </cols>
  <sheetData>
    <row r="1">
      <c r="A1" s="1" t="inlineStr">
        <is>
          <t>Settings</t>
        </is>
      </c>
    </row>
    <row r="2">
      <c r="A2" s="2" t="inlineStr">
        <is>
          <t>Fill in once. Yellow cells only.</t>
        </is>
      </c>
    </row>
    <row r="4">
      <c r="A4" s="9" t="inlineStr">
        <is>
          <t>Account holder name(s)</t>
        </is>
      </c>
      <c r="B4" s="10" t="inlineStr"/>
      <c r="C4" s="6" t="inlineStr">
        <is>
          <t>As shown on the broker account.</t>
        </is>
      </c>
    </row>
    <row r="5">
      <c r="A5" s="9" t="inlineStr">
        <is>
          <t>Broker</t>
        </is>
      </c>
      <c r="B5" s="10" t="inlineStr"/>
      <c r="C5" s="6" t="inlineStr">
        <is>
          <t>e.g. CMC Invest / Vanguard Personal Investor / Betashares Direct.</t>
        </is>
      </c>
    </row>
    <row r="6">
      <c r="A6" s="9" t="inlineStr">
        <is>
          <t>Start date</t>
        </is>
      </c>
      <c r="B6" s="11" t="n"/>
      <c r="C6" s="6" t="inlineStr">
        <is>
          <t>Date of your first deposit (DD/MM/YYYY).</t>
        </is>
      </c>
    </row>
    <row r="7">
      <c r="A7" s="9" t="inlineStr">
        <is>
          <t>Typical brokerage per trade ($)</t>
        </is>
      </c>
      <c r="B7" s="12" t="n">
        <v>0</v>
      </c>
      <c r="C7" s="6" t="inlineStr">
        <is>
          <t>From your broker's pricing page. Used by the Gate.</t>
        </is>
      </c>
    </row>
    <row r="8">
      <c r="A8" s="9" t="inlineStr">
        <is>
          <t>Max brokerage as % of an order</t>
        </is>
      </c>
      <c r="B8" s="13" t="n">
        <v>0.01</v>
      </c>
      <c r="C8" s="6" t="inlineStr">
        <is>
          <t>1% rule. Don't change this unless you know why.</t>
        </is>
      </c>
    </row>
    <row r="9">
      <c r="A9" s="9" t="inlineStr">
        <is>
          <t>Planned monthly contribution ($)</t>
        </is>
      </c>
      <c r="B9" s="12" t="n">
        <v>0</v>
      </c>
      <c r="C9" s="6" t="inlineStr">
        <is>
          <t>What you can add each month without touching emergency money.</t>
        </is>
      </c>
    </row>
    <row r="10">
      <c r="A10" s="9" t="inlineStr">
        <is>
          <t>Emergency fund held in savings ($)</t>
        </is>
      </c>
      <c r="B10" s="12" t="n">
        <v>0</v>
      </c>
      <c r="C10" s="6" t="inlineStr">
        <is>
          <t>Cash you can reach in 1 day. Aim for 3-6 months of expenses.</t>
        </is>
      </c>
    </row>
    <row r="11">
      <c r="A11" s="9" t="inlineStr">
        <is>
          <t>Marginal tax rate of account holder</t>
        </is>
      </c>
      <c r="B11" s="13" t="n">
        <v>0.16</v>
      </c>
      <c r="C11" s="6" t="inlineStr">
        <is>
          <t>Used for rough after-tax estimates only. Check your own bracket.</t>
        </is>
      </c>
    </row>
    <row r="12">
      <c r="A12" s="9" t="inlineStr">
        <is>
          <t>Benchmark fund ticker</t>
        </is>
      </c>
      <c r="B12" s="10" t="inlineStr">
        <is>
          <t>VDHG</t>
        </is>
      </c>
      <c r="C12" s="6" t="inlineStr">
        <is>
          <t>The single fund you compare yourself against (see Dashboard).</t>
        </is>
      </c>
    </row>
    <row r="14">
      <c r="A14" s="3" t="inlineStr">
        <is>
          <t>TARGET MIX (must add up to 100%)</t>
        </is>
      </c>
    </row>
    <row r="15">
      <c r="A15" s="14" t="inlineStr">
        <is>
          <t>Ticker (ASX code)</t>
        </is>
      </c>
      <c r="B15" s="14" t="inlineStr">
        <is>
          <t>Target %</t>
        </is>
      </c>
      <c r="C15" s="14" t="inlineStr">
        <is>
          <t>What it is</t>
        </is>
      </c>
    </row>
    <row r="16">
      <c r="A16" s="10" t="inlineStr">
        <is>
          <t>VDHG</t>
        </is>
      </c>
      <c r="B16" s="15" t="n">
        <v>1</v>
      </c>
      <c r="C16" s="10" t="inlineStr">
        <is>
          <t>Example only - one diversified fund. Replace with your chosen fund(s).</t>
        </is>
      </c>
    </row>
    <row r="17">
      <c r="A17" s="10" t="n"/>
      <c r="B17" s="15" t="n"/>
      <c r="C17" s="10" t="n"/>
    </row>
    <row r="18">
      <c r="A18" s="10" t="n"/>
      <c r="B18" s="15" t="n"/>
      <c r="C18" s="10" t="n"/>
    </row>
    <row r="19">
      <c r="A19" s="10" t="n"/>
      <c r="B19" s="15" t="n"/>
      <c r="C19" s="10" t="n"/>
    </row>
    <row r="20">
      <c r="A20" s="10" t="n"/>
      <c r="B20" s="15" t="n"/>
      <c r="C20" s="10" t="n"/>
    </row>
    <row r="21">
      <c r="A21" s="10" t="n"/>
      <c r="B21" s="15" t="n"/>
      <c r="C21" s="10" t="n"/>
    </row>
    <row r="22">
      <c r="A22" s="10" t="n"/>
      <c r="B22" s="15" t="n"/>
      <c r="C22" s="10" t="n"/>
    </row>
    <row r="23">
      <c r="A23" s="10" t="n"/>
      <c r="B23" s="15" t="n"/>
      <c r="C23" s="10" t="n"/>
    </row>
    <row r="24">
      <c r="A24" s="10" t="n"/>
      <c r="B24" s="15" t="n"/>
      <c r="C24" s="10" t="n"/>
    </row>
    <row r="25">
      <c r="A25" s="10" t="n"/>
      <c r="B25" s="15" t="n"/>
      <c r="C25" s="10" t="n"/>
    </row>
    <row r="26">
      <c r="A26" s="9" t="inlineStr">
        <is>
          <t>Total (must be 100%)</t>
        </is>
      </c>
      <c r="B26" s="16">
        <f>SUM(B16:B25)</f>
        <v/>
      </c>
    </row>
  </sheetData>
  <conditionalFormatting sqref="B26">
    <cfRule type="expression" priority="1" dxfId="0">
      <formula>ROUND(B26,4)&lt;&gt;1</formula>
    </cfRule>
    <cfRule type="expression" priority="2" dxfId="1">
      <formula>ROUND(B26,4)=1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70" customWidth="1" min="1" max="1"/>
    <col width="16" customWidth="1" min="2" max="2"/>
    <col width="14" customWidth="1" min="3" max="3"/>
    <col width="60" customWidth="1" min="4" max="4"/>
  </cols>
  <sheetData>
    <row r="1">
      <c r="A1" s="1" t="inlineStr">
        <is>
          <t>Pre-Buy Gate</t>
        </is>
      </c>
    </row>
    <row r="2">
      <c r="A2" s="2" t="inlineStr">
        <is>
          <t>Fill in before EVERY order. Answer honestly. If any line fails, the answer is STOP.</t>
        </is>
      </c>
    </row>
    <row r="4">
      <c r="A4" s="14" t="inlineStr">
        <is>
          <t>Check</t>
        </is>
      </c>
      <c r="B4" s="14" t="inlineStr">
        <is>
          <t>Your answer</t>
        </is>
      </c>
      <c r="C4" s="14" t="inlineStr">
        <is>
          <t>Pass?</t>
        </is>
      </c>
      <c r="D4" s="14" t="inlineStr">
        <is>
          <t>Why it matters</t>
        </is>
      </c>
    </row>
    <row r="5">
      <c r="A5" s="17" t="inlineStr">
        <is>
          <t>Order: Buy or Sell?</t>
        </is>
      </c>
      <c r="B5" s="18" t="n"/>
      <c r="C5" s="17" t="n"/>
      <c r="D5" s="17" t="inlineStr">
        <is>
          <t>Sells need an extra reason - see row 13.</t>
        </is>
      </c>
    </row>
    <row r="6">
      <c r="A6" s="17" t="inlineStr">
        <is>
          <t>Ticker (ASX code)</t>
        </is>
      </c>
      <c r="B6" s="18" t="n"/>
      <c r="C6" s="17" t="n"/>
      <c r="D6" s="17" t="inlineStr">
        <is>
          <t>Must be on your Target Mix list in Settings.</t>
        </is>
      </c>
    </row>
    <row r="7">
      <c r="A7" s="17" t="inlineStr">
        <is>
          <t>Order size ($, before brokerage)</t>
        </is>
      </c>
      <c r="B7" s="19" t="n"/>
      <c r="C7" s="17" t="n"/>
      <c r="D7" s="17" t="inlineStr"/>
    </row>
    <row r="8">
      <c r="A8" s="17" t="inlineStr">
        <is>
          <t>Is the ticker in my Target Mix?</t>
        </is>
      </c>
      <c r="B8" s="20">
        <f>IF(B6="","",IF(COUNTIF(Settings!A16:A25,B6)&gt;0,"Yes","No"))</f>
        <v/>
      </c>
      <c r="C8" s="21">
        <f>IF(B8="","",IF(B8="Yes","PASS","FAIL"))</f>
        <v/>
      </c>
      <c r="D8" s="17" t="inlineStr">
        <is>
          <t>No new ideas mid-stream. Change the plan at a review, not on impulse.</t>
        </is>
      </c>
    </row>
    <row r="9">
      <c r="A9" s="17" t="inlineStr">
        <is>
          <t>Brokerage as % of the order</t>
        </is>
      </c>
      <c r="B9" s="22">
        <f>IF(N(B7)=0,"",Settings!B7/B7)</f>
        <v/>
      </c>
      <c r="C9" s="21">
        <f>IF(B9="","",IF(B9&lt;=Settings!B8,"PASS","FAIL"))</f>
        <v/>
      </c>
      <c r="D9" s="17" t="inlineStr">
        <is>
          <t>Above 1%, fees eat the return. Save up and buy less often instead.</t>
        </is>
      </c>
    </row>
    <row r="10">
      <c r="A10" s="17" t="inlineStr">
        <is>
          <t>Emergency fund in place? (Y/N)</t>
        </is>
      </c>
      <c r="B10" s="18" t="n"/>
      <c r="C10" s="21">
        <f>IF(B10="","",IF(UPPER(B10)="Y","PASS","FAIL"))</f>
        <v/>
      </c>
      <c r="D10" s="17" t="inlineStr">
        <is>
          <t>Never invest money you might need next year.</t>
        </is>
      </c>
    </row>
    <row r="11">
      <c r="A11" s="17" t="inlineStr">
        <is>
          <t>Will I leave this money for 5+ years? (Y/N)</t>
        </is>
      </c>
      <c r="B11" s="18" t="n"/>
      <c r="C11" s="21">
        <f>IF(B11="","",IF(UPPER(B11)="Y","PASS","FAIL"))</f>
        <v/>
      </c>
      <c r="D11" s="17" t="inlineStr">
        <is>
          <t>Shares can fall 30%+ and take years to recover.</t>
        </is>
      </c>
    </row>
    <row r="12">
      <c r="A12" s="17" t="inlineStr">
        <is>
          <t>Is this part of my monthly routine or yearly rebalance? (Y/N)</t>
        </is>
      </c>
      <c r="B12" s="18" t="n"/>
      <c r="C12" s="21">
        <f>IF(B12="","",IF(UPPER(B12)="Y","PASS","FAIL"))</f>
        <v/>
      </c>
      <c r="D12" s="17" t="inlineStr">
        <is>
          <t>Unplanned trades are where beginners lose money.</t>
        </is>
      </c>
    </row>
    <row r="13">
      <c r="A13" s="17" t="inlineStr">
        <is>
          <t>If SELLING: is it for rebalancing or a planned need, NOT because prices fell? (Y/N/NA)</t>
        </is>
      </c>
      <c r="B13" s="18" t="n"/>
      <c r="C13" s="21">
        <f>IF(B13="","",IF(OR(UPPER(B13)="Y",AND(UPPER(B13)="NA",UPPER(B5)="BUY")),"PASS","FAIL"))</f>
        <v/>
      </c>
      <c r="D13" s="17" t="inlineStr">
        <is>
          <t>Panic selling is the #1 wealth destroyer.</t>
        </is>
      </c>
    </row>
    <row r="14">
      <c r="A14" s="17" t="inlineStr">
        <is>
          <t>Did a tip, forum, ad or news story prompt this? (Y/N)</t>
        </is>
      </c>
      <c r="B14" s="18" t="n"/>
      <c r="C14" s="21">
        <f>IF(B14="","",IF(UPPER(B14)="N","PASS","FAIL"))</f>
        <v/>
      </c>
      <c r="D14" s="17" t="inlineStr">
        <is>
          <t>If yes, wait 7 days and come back.</t>
        </is>
      </c>
    </row>
    <row r="16">
      <c r="A16" s="23" t="inlineStr">
        <is>
          <t>GATE RESULT</t>
        </is>
      </c>
      <c r="B16" s="23">
        <f>IF(COUNTBLANK(B5:B14)&gt;0,"Fill in every yellow cell",IF(COUNTIF(C8:C14,"FAIL")&gt;0,"STOP - do not place this order","GO - place order, then log it"))</f>
        <v/>
      </c>
    </row>
    <row r="18">
      <c r="A18" s="2" t="inlineStr">
        <is>
          <t>After each order, clear the yellow cells (select them, press Delete) so it's fresh next time.</t>
        </is>
      </c>
    </row>
  </sheetData>
  <mergeCells count="1">
    <mergeCell ref="B16:D16"/>
  </mergeCells>
  <conditionalFormatting sqref="C8:C14">
    <cfRule type="cellIs" priority="1" operator="equal" dxfId="1">
      <formula>"PASS"</formula>
    </cfRule>
    <cfRule type="cellIs" priority="2" operator="equal" dxfId="0">
      <formula>"FAIL"</formula>
    </cfRule>
  </conditionalFormatting>
  <conditionalFormatting sqref="B16">
    <cfRule type="expression" priority="3" dxfId="0">
      <formula>LEFT($B$16,4)="STOP"</formula>
    </cfRule>
    <cfRule type="expression" priority="4" dxfId="1">
      <formula>LEFT($B$16,2)="GO"</formula>
    </cfRule>
  </conditionalFormatting>
  <dataValidations count="3">
    <dataValidation sqref="B10 B11 B12 B14" showDropDown="0" showInputMessage="0" showErrorMessage="0" allowBlank="1" type="list">
      <formula1>"Y,N"</formula1>
    </dataValidation>
    <dataValidation sqref="B13" showDropDown="0" showInputMessage="0" showErrorMessage="0" allowBlank="1" type="list">
      <formula1>"Y,N,NA"</formula1>
    </dataValidation>
    <dataValidation sqref="B5" showDropDown="0" showInputMessage="0" showErrorMessage="0" allowBlank="1" type="list">
      <formula1>"Buy,Sell"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4"/>
  <sheetViews>
    <sheetView workbookViewId="0">
      <pane ySplit="4" topLeftCell="A5"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6" customWidth="1" min="5" max="5"/>
    <col width="13" customWidth="1" min="6" max="6"/>
    <col width="20" customWidth="1" min="7" max="7"/>
    <col width="14" customWidth="1" min="8" max="8"/>
    <col width="12" customWidth="1" min="9" max="9"/>
    <col width="50" customWidth="1" min="10" max="10"/>
  </cols>
  <sheetData>
    <row r="1">
      <c r="A1" s="1" t="inlineStr">
        <is>
          <t>Transactions</t>
        </is>
      </c>
    </row>
    <row r="2">
      <c r="A2" s="2" t="inlineStr">
        <is>
          <t>One row per buy or sell. Copy figures from the broker's trade confirmation.</t>
        </is>
      </c>
    </row>
    <row r="4">
      <c r="A4" s="24" t="inlineStr">
        <is>
          <t>Date</t>
        </is>
      </c>
      <c r="B4" s="24" t="inlineStr">
        <is>
          <t>Ticker</t>
        </is>
      </c>
      <c r="C4" s="24" t="inlineStr">
        <is>
          <t>Buy/Sell</t>
        </is>
      </c>
      <c r="D4" s="24" t="inlineStr">
        <is>
          <t>Units</t>
        </is>
      </c>
      <c r="E4" s="24" t="inlineStr">
        <is>
          <t>Price per unit ($)</t>
        </is>
      </c>
      <c r="F4" s="24" t="inlineStr">
        <is>
          <t>Brokerage ($)</t>
        </is>
      </c>
      <c r="G4" s="24" t="inlineStr">
        <is>
          <t>Cash out(-) / in(+) ($)</t>
        </is>
      </c>
      <c r="H4" s="24" t="inlineStr">
        <is>
          <t>Brokerage % of order</t>
        </is>
      </c>
      <c r="I4" s="24" t="inlineStr">
        <is>
          <t>Gate passed? (Y/N)</t>
        </is>
      </c>
      <c r="J4" s="24" t="inlineStr">
        <is>
          <t>Notes / reason</t>
        </is>
      </c>
    </row>
    <row r="5">
      <c r="A5" s="25" t="n"/>
      <c r="B5" s="26" t="n"/>
      <c r="C5" s="26" t="n"/>
      <c r="D5" s="26" t="n"/>
      <c r="E5" s="27" t="n"/>
      <c r="F5" s="28" t="n"/>
      <c r="G5" s="29">
        <f>IF(OR(C5="",D5=""),"",IF(C5="Buy",-(D5*E5+F5),D5*E5-F5))</f>
        <v/>
      </c>
      <c r="H5" s="30">
        <f>IF(OR(D5="",E5="",D5*E5=0),"",F5/(D5*E5))</f>
        <v/>
      </c>
      <c r="I5" s="26" t="n"/>
      <c r="J5" s="26" t="n"/>
    </row>
    <row r="6">
      <c r="A6" s="25" t="n"/>
      <c r="B6" s="26" t="n"/>
      <c r="C6" s="26" t="n"/>
      <c r="D6" s="26" t="n"/>
      <c r="E6" s="27" t="n"/>
      <c r="F6" s="28" t="n"/>
      <c r="G6" s="29">
        <f>IF(OR(C6="",D6=""),"",IF(C6="Buy",-(D6*E6+F6),D6*E6-F6))</f>
        <v/>
      </c>
      <c r="H6" s="30">
        <f>IF(OR(D6="",E6="",D6*E6=0),"",F6/(D6*E6))</f>
        <v/>
      </c>
      <c r="I6" s="26" t="n"/>
      <c r="J6" s="26" t="n"/>
    </row>
    <row r="7">
      <c r="A7" s="25" t="n"/>
      <c r="B7" s="26" t="n"/>
      <c r="C7" s="26" t="n"/>
      <c r="D7" s="26" t="n"/>
      <c r="E7" s="27" t="n"/>
      <c r="F7" s="28" t="n"/>
      <c r="G7" s="29">
        <f>IF(OR(C7="",D7=""),"",IF(C7="Buy",-(D7*E7+F7),D7*E7-F7))</f>
        <v/>
      </c>
      <c r="H7" s="30">
        <f>IF(OR(D7="",E7="",D7*E7=0),"",F7/(D7*E7))</f>
        <v/>
      </c>
      <c r="I7" s="26" t="n"/>
      <c r="J7" s="26" t="n"/>
    </row>
    <row r="8">
      <c r="A8" s="25" t="n"/>
      <c r="B8" s="26" t="n"/>
      <c r="C8" s="26" t="n"/>
      <c r="D8" s="26" t="n"/>
      <c r="E8" s="27" t="n"/>
      <c r="F8" s="28" t="n"/>
      <c r="G8" s="29">
        <f>IF(OR(C8="",D8=""),"",IF(C8="Buy",-(D8*E8+F8),D8*E8-F8))</f>
        <v/>
      </c>
      <c r="H8" s="30">
        <f>IF(OR(D8="",E8="",D8*E8=0),"",F8/(D8*E8))</f>
        <v/>
      </c>
      <c r="I8" s="26" t="n"/>
      <c r="J8" s="26" t="n"/>
    </row>
    <row r="9">
      <c r="A9" s="25" t="n"/>
      <c r="B9" s="26" t="n"/>
      <c r="C9" s="26" t="n"/>
      <c r="D9" s="26" t="n"/>
      <c r="E9" s="27" t="n"/>
      <c r="F9" s="28" t="n"/>
      <c r="G9" s="29">
        <f>IF(OR(C9="",D9=""),"",IF(C9="Buy",-(D9*E9+F9),D9*E9-F9))</f>
        <v/>
      </c>
      <c r="H9" s="30">
        <f>IF(OR(D9="",E9="",D9*E9=0),"",F9/(D9*E9))</f>
        <v/>
      </c>
      <c r="I9" s="26" t="n"/>
      <c r="J9" s="26" t="n"/>
    </row>
    <row r="10">
      <c r="A10" s="25" t="n"/>
      <c r="B10" s="26" t="n"/>
      <c r="C10" s="26" t="n"/>
      <c r="D10" s="26" t="n"/>
      <c r="E10" s="27" t="n"/>
      <c r="F10" s="28" t="n"/>
      <c r="G10" s="29">
        <f>IF(OR(C10="",D10=""),"",IF(C10="Buy",-(D10*E10+F10),D10*E10-F10))</f>
        <v/>
      </c>
      <c r="H10" s="30">
        <f>IF(OR(D10="",E10="",D10*E10=0),"",F10/(D10*E10))</f>
        <v/>
      </c>
      <c r="I10" s="26" t="n"/>
      <c r="J10" s="26" t="n"/>
    </row>
    <row r="11">
      <c r="A11" s="25" t="n"/>
      <c r="B11" s="26" t="n"/>
      <c r="C11" s="26" t="n"/>
      <c r="D11" s="26" t="n"/>
      <c r="E11" s="27" t="n"/>
      <c r="F11" s="28" t="n"/>
      <c r="G11" s="29">
        <f>IF(OR(C11="",D11=""),"",IF(C11="Buy",-(D11*E11+F11),D11*E11-F11))</f>
        <v/>
      </c>
      <c r="H11" s="30">
        <f>IF(OR(D11="",E11="",D11*E11=0),"",F11/(D11*E11))</f>
        <v/>
      </c>
      <c r="I11" s="26" t="n"/>
      <c r="J11" s="26" t="n"/>
    </row>
    <row r="12">
      <c r="A12" s="25" t="n"/>
      <c r="B12" s="26" t="n"/>
      <c r="C12" s="26" t="n"/>
      <c r="D12" s="26" t="n"/>
      <c r="E12" s="27" t="n"/>
      <c r="F12" s="28" t="n"/>
      <c r="G12" s="29">
        <f>IF(OR(C12="",D12=""),"",IF(C12="Buy",-(D12*E12+F12),D12*E12-F12))</f>
        <v/>
      </c>
      <c r="H12" s="30">
        <f>IF(OR(D12="",E12="",D12*E12=0),"",F12/(D12*E12))</f>
        <v/>
      </c>
      <c r="I12" s="26" t="n"/>
      <c r="J12" s="26" t="n"/>
    </row>
    <row r="13">
      <c r="A13" s="25" t="n"/>
      <c r="B13" s="26" t="n"/>
      <c r="C13" s="26" t="n"/>
      <c r="D13" s="26" t="n"/>
      <c r="E13" s="27" t="n"/>
      <c r="F13" s="28" t="n"/>
      <c r="G13" s="29">
        <f>IF(OR(C13="",D13=""),"",IF(C13="Buy",-(D13*E13+F13),D13*E13-F13))</f>
        <v/>
      </c>
      <c r="H13" s="30">
        <f>IF(OR(D13="",E13="",D13*E13=0),"",F13/(D13*E13))</f>
        <v/>
      </c>
      <c r="I13" s="26" t="n"/>
      <c r="J13" s="26" t="n"/>
    </row>
    <row r="14">
      <c r="A14" s="25" t="n"/>
      <c r="B14" s="26" t="n"/>
      <c r="C14" s="26" t="n"/>
      <c r="D14" s="26" t="n"/>
      <c r="E14" s="27" t="n"/>
      <c r="F14" s="28" t="n"/>
      <c r="G14" s="29">
        <f>IF(OR(C14="",D14=""),"",IF(C14="Buy",-(D14*E14+F14),D14*E14-F14))</f>
        <v/>
      </c>
      <c r="H14" s="30">
        <f>IF(OR(D14="",E14="",D14*E14=0),"",F14/(D14*E14))</f>
        <v/>
      </c>
      <c r="I14" s="26" t="n"/>
      <c r="J14" s="26" t="n"/>
    </row>
    <row r="15">
      <c r="A15" s="25" t="n"/>
      <c r="B15" s="26" t="n"/>
      <c r="C15" s="26" t="n"/>
      <c r="D15" s="26" t="n"/>
      <c r="E15" s="27" t="n"/>
      <c r="F15" s="28" t="n"/>
      <c r="G15" s="29">
        <f>IF(OR(C15="",D15=""),"",IF(C15="Buy",-(D15*E15+F15),D15*E15-F15))</f>
        <v/>
      </c>
      <c r="H15" s="30">
        <f>IF(OR(D15="",E15="",D15*E15=0),"",F15/(D15*E15))</f>
        <v/>
      </c>
      <c r="I15" s="26" t="n"/>
      <c r="J15" s="26" t="n"/>
    </row>
    <row r="16">
      <c r="A16" s="25" t="n"/>
      <c r="B16" s="26" t="n"/>
      <c r="C16" s="26" t="n"/>
      <c r="D16" s="26" t="n"/>
      <c r="E16" s="27" t="n"/>
      <c r="F16" s="28" t="n"/>
      <c r="G16" s="29">
        <f>IF(OR(C16="",D16=""),"",IF(C16="Buy",-(D16*E16+F16),D16*E16-F16))</f>
        <v/>
      </c>
      <c r="H16" s="30">
        <f>IF(OR(D16="",E16="",D16*E16=0),"",F16/(D16*E16))</f>
        <v/>
      </c>
      <c r="I16" s="26" t="n"/>
      <c r="J16" s="26" t="n"/>
    </row>
    <row r="17">
      <c r="A17" s="25" t="n"/>
      <c r="B17" s="26" t="n"/>
      <c r="C17" s="26" t="n"/>
      <c r="D17" s="26" t="n"/>
      <c r="E17" s="27" t="n"/>
      <c r="F17" s="28" t="n"/>
      <c r="G17" s="29">
        <f>IF(OR(C17="",D17=""),"",IF(C17="Buy",-(D17*E17+F17),D17*E17-F17))</f>
        <v/>
      </c>
      <c r="H17" s="30">
        <f>IF(OR(D17="",E17="",D17*E17=0),"",F17/(D17*E17))</f>
        <v/>
      </c>
      <c r="I17" s="26" t="n"/>
      <c r="J17" s="26" t="n"/>
    </row>
    <row r="18">
      <c r="A18" s="25" t="n"/>
      <c r="B18" s="26" t="n"/>
      <c r="C18" s="26" t="n"/>
      <c r="D18" s="26" t="n"/>
      <c r="E18" s="27" t="n"/>
      <c r="F18" s="28" t="n"/>
      <c r="G18" s="29">
        <f>IF(OR(C18="",D18=""),"",IF(C18="Buy",-(D18*E18+F18),D18*E18-F18))</f>
        <v/>
      </c>
      <c r="H18" s="30">
        <f>IF(OR(D18="",E18="",D18*E18=0),"",F18/(D18*E18))</f>
        <v/>
      </c>
      <c r="I18" s="26" t="n"/>
      <c r="J18" s="26" t="n"/>
    </row>
    <row r="19">
      <c r="A19" s="25" t="n"/>
      <c r="B19" s="26" t="n"/>
      <c r="C19" s="26" t="n"/>
      <c r="D19" s="26" t="n"/>
      <c r="E19" s="27" t="n"/>
      <c r="F19" s="28" t="n"/>
      <c r="G19" s="29">
        <f>IF(OR(C19="",D19=""),"",IF(C19="Buy",-(D19*E19+F19),D19*E19-F19))</f>
        <v/>
      </c>
      <c r="H19" s="30">
        <f>IF(OR(D19="",E19="",D19*E19=0),"",F19/(D19*E19))</f>
        <v/>
      </c>
      <c r="I19" s="26" t="n"/>
      <c r="J19" s="26" t="n"/>
    </row>
    <row r="20">
      <c r="A20" s="25" t="n"/>
      <c r="B20" s="26" t="n"/>
      <c r="C20" s="26" t="n"/>
      <c r="D20" s="26" t="n"/>
      <c r="E20" s="27" t="n"/>
      <c r="F20" s="28" t="n"/>
      <c r="G20" s="29">
        <f>IF(OR(C20="",D20=""),"",IF(C20="Buy",-(D20*E20+F20),D20*E20-F20))</f>
        <v/>
      </c>
      <c r="H20" s="30">
        <f>IF(OR(D20="",E20="",D20*E20=0),"",F20/(D20*E20))</f>
        <v/>
      </c>
      <c r="I20" s="26" t="n"/>
      <c r="J20" s="26" t="n"/>
    </row>
    <row r="21">
      <c r="A21" s="25" t="n"/>
      <c r="B21" s="26" t="n"/>
      <c r="C21" s="26" t="n"/>
      <c r="D21" s="26" t="n"/>
      <c r="E21" s="27" t="n"/>
      <c r="F21" s="28" t="n"/>
      <c r="G21" s="29">
        <f>IF(OR(C21="",D21=""),"",IF(C21="Buy",-(D21*E21+F21),D21*E21-F21))</f>
        <v/>
      </c>
      <c r="H21" s="30">
        <f>IF(OR(D21="",E21="",D21*E21=0),"",F21/(D21*E21))</f>
        <v/>
      </c>
      <c r="I21" s="26" t="n"/>
      <c r="J21" s="26" t="n"/>
    </row>
    <row r="22">
      <c r="A22" s="25" t="n"/>
      <c r="B22" s="26" t="n"/>
      <c r="C22" s="26" t="n"/>
      <c r="D22" s="26" t="n"/>
      <c r="E22" s="27" t="n"/>
      <c r="F22" s="28" t="n"/>
      <c r="G22" s="29">
        <f>IF(OR(C22="",D22=""),"",IF(C22="Buy",-(D22*E22+F22),D22*E22-F22))</f>
        <v/>
      </c>
      <c r="H22" s="30">
        <f>IF(OR(D22="",E22="",D22*E22=0),"",F22/(D22*E22))</f>
        <v/>
      </c>
      <c r="I22" s="26" t="n"/>
      <c r="J22" s="26" t="n"/>
    </row>
    <row r="23">
      <c r="A23" s="25" t="n"/>
      <c r="B23" s="26" t="n"/>
      <c r="C23" s="26" t="n"/>
      <c r="D23" s="26" t="n"/>
      <c r="E23" s="27" t="n"/>
      <c r="F23" s="28" t="n"/>
      <c r="G23" s="29">
        <f>IF(OR(C23="",D23=""),"",IF(C23="Buy",-(D23*E23+F23),D23*E23-F23))</f>
        <v/>
      </c>
      <c r="H23" s="30">
        <f>IF(OR(D23="",E23="",D23*E23=0),"",F23/(D23*E23))</f>
        <v/>
      </c>
      <c r="I23" s="26" t="n"/>
      <c r="J23" s="26" t="n"/>
    </row>
    <row r="24">
      <c r="A24" s="25" t="n"/>
      <c r="B24" s="26" t="n"/>
      <c r="C24" s="26" t="n"/>
      <c r="D24" s="26" t="n"/>
      <c r="E24" s="27" t="n"/>
      <c r="F24" s="28" t="n"/>
      <c r="G24" s="29">
        <f>IF(OR(C24="",D24=""),"",IF(C24="Buy",-(D24*E24+F24),D24*E24-F24))</f>
        <v/>
      </c>
      <c r="H24" s="30">
        <f>IF(OR(D24="",E24="",D24*E24=0),"",F24/(D24*E24))</f>
        <v/>
      </c>
      <c r="I24" s="26" t="n"/>
      <c r="J24" s="26" t="n"/>
    </row>
    <row r="25">
      <c r="A25" s="25" t="n"/>
      <c r="B25" s="26" t="n"/>
      <c r="C25" s="26" t="n"/>
      <c r="D25" s="26" t="n"/>
      <c r="E25" s="27" t="n"/>
      <c r="F25" s="28" t="n"/>
      <c r="G25" s="29">
        <f>IF(OR(C25="",D25=""),"",IF(C25="Buy",-(D25*E25+F25),D25*E25-F25))</f>
        <v/>
      </c>
      <c r="H25" s="30">
        <f>IF(OR(D25="",E25="",D25*E25=0),"",F25/(D25*E25))</f>
        <v/>
      </c>
      <c r="I25" s="26" t="n"/>
      <c r="J25" s="26" t="n"/>
    </row>
    <row r="26">
      <c r="A26" s="25" t="n"/>
      <c r="B26" s="26" t="n"/>
      <c r="C26" s="26" t="n"/>
      <c r="D26" s="26" t="n"/>
      <c r="E26" s="27" t="n"/>
      <c r="F26" s="28" t="n"/>
      <c r="G26" s="29">
        <f>IF(OR(C26="",D26=""),"",IF(C26="Buy",-(D26*E26+F26),D26*E26-F26))</f>
        <v/>
      </c>
      <c r="H26" s="30">
        <f>IF(OR(D26="",E26="",D26*E26=0),"",F26/(D26*E26))</f>
        <v/>
      </c>
      <c r="I26" s="26" t="n"/>
      <c r="J26" s="26" t="n"/>
    </row>
    <row r="27">
      <c r="A27" s="25" t="n"/>
      <c r="B27" s="26" t="n"/>
      <c r="C27" s="26" t="n"/>
      <c r="D27" s="26" t="n"/>
      <c r="E27" s="27" t="n"/>
      <c r="F27" s="28" t="n"/>
      <c r="G27" s="29">
        <f>IF(OR(C27="",D27=""),"",IF(C27="Buy",-(D27*E27+F27),D27*E27-F27))</f>
        <v/>
      </c>
      <c r="H27" s="30">
        <f>IF(OR(D27="",E27="",D27*E27=0),"",F27/(D27*E27))</f>
        <v/>
      </c>
      <c r="I27" s="26" t="n"/>
      <c r="J27" s="26" t="n"/>
    </row>
    <row r="28">
      <c r="A28" s="25" t="n"/>
      <c r="B28" s="26" t="n"/>
      <c r="C28" s="26" t="n"/>
      <c r="D28" s="26" t="n"/>
      <c r="E28" s="27" t="n"/>
      <c r="F28" s="28" t="n"/>
      <c r="G28" s="29">
        <f>IF(OR(C28="",D28=""),"",IF(C28="Buy",-(D28*E28+F28),D28*E28-F28))</f>
        <v/>
      </c>
      <c r="H28" s="30">
        <f>IF(OR(D28="",E28="",D28*E28=0),"",F28/(D28*E28))</f>
        <v/>
      </c>
      <c r="I28" s="26" t="n"/>
      <c r="J28" s="26" t="n"/>
    </row>
    <row r="29">
      <c r="A29" s="25" t="n"/>
      <c r="B29" s="26" t="n"/>
      <c r="C29" s="26" t="n"/>
      <c r="D29" s="26" t="n"/>
      <c r="E29" s="27" t="n"/>
      <c r="F29" s="28" t="n"/>
      <c r="G29" s="29">
        <f>IF(OR(C29="",D29=""),"",IF(C29="Buy",-(D29*E29+F29),D29*E29-F29))</f>
        <v/>
      </c>
      <c r="H29" s="30">
        <f>IF(OR(D29="",E29="",D29*E29=0),"",F29/(D29*E29))</f>
        <v/>
      </c>
      <c r="I29" s="26" t="n"/>
      <c r="J29" s="26" t="n"/>
    </row>
    <row r="30">
      <c r="A30" s="25" t="n"/>
      <c r="B30" s="26" t="n"/>
      <c r="C30" s="26" t="n"/>
      <c r="D30" s="26" t="n"/>
      <c r="E30" s="27" t="n"/>
      <c r="F30" s="28" t="n"/>
      <c r="G30" s="29">
        <f>IF(OR(C30="",D30=""),"",IF(C30="Buy",-(D30*E30+F30),D30*E30-F30))</f>
        <v/>
      </c>
      <c r="H30" s="30">
        <f>IF(OR(D30="",E30="",D30*E30=0),"",F30/(D30*E30))</f>
        <v/>
      </c>
      <c r="I30" s="26" t="n"/>
      <c r="J30" s="26" t="n"/>
    </row>
    <row r="31">
      <c r="A31" s="25" t="n"/>
      <c r="B31" s="26" t="n"/>
      <c r="C31" s="26" t="n"/>
      <c r="D31" s="26" t="n"/>
      <c r="E31" s="27" t="n"/>
      <c r="F31" s="28" t="n"/>
      <c r="G31" s="29">
        <f>IF(OR(C31="",D31=""),"",IF(C31="Buy",-(D31*E31+F31),D31*E31-F31))</f>
        <v/>
      </c>
      <c r="H31" s="30">
        <f>IF(OR(D31="",E31="",D31*E31=0),"",F31/(D31*E31))</f>
        <v/>
      </c>
      <c r="I31" s="26" t="n"/>
      <c r="J31" s="26" t="n"/>
    </row>
    <row r="32">
      <c r="A32" s="25" t="n"/>
      <c r="B32" s="26" t="n"/>
      <c r="C32" s="26" t="n"/>
      <c r="D32" s="26" t="n"/>
      <c r="E32" s="27" t="n"/>
      <c r="F32" s="28" t="n"/>
      <c r="G32" s="29">
        <f>IF(OR(C32="",D32=""),"",IF(C32="Buy",-(D32*E32+F32),D32*E32-F32))</f>
        <v/>
      </c>
      <c r="H32" s="30">
        <f>IF(OR(D32="",E32="",D32*E32=0),"",F32/(D32*E32))</f>
        <v/>
      </c>
      <c r="I32" s="26" t="n"/>
      <c r="J32" s="26" t="n"/>
    </row>
    <row r="33">
      <c r="A33" s="25" t="n"/>
      <c r="B33" s="26" t="n"/>
      <c r="C33" s="26" t="n"/>
      <c r="D33" s="26" t="n"/>
      <c r="E33" s="27" t="n"/>
      <c r="F33" s="28" t="n"/>
      <c r="G33" s="29">
        <f>IF(OR(C33="",D33=""),"",IF(C33="Buy",-(D33*E33+F33),D33*E33-F33))</f>
        <v/>
      </c>
      <c r="H33" s="30">
        <f>IF(OR(D33="",E33="",D33*E33=0),"",F33/(D33*E33))</f>
        <v/>
      </c>
      <c r="I33" s="26" t="n"/>
      <c r="J33" s="26" t="n"/>
    </row>
    <row r="34">
      <c r="A34" s="25" t="n"/>
      <c r="B34" s="26" t="n"/>
      <c r="C34" s="26" t="n"/>
      <c r="D34" s="26" t="n"/>
      <c r="E34" s="27" t="n"/>
      <c r="F34" s="28" t="n"/>
      <c r="G34" s="29">
        <f>IF(OR(C34="",D34=""),"",IF(C34="Buy",-(D34*E34+F34),D34*E34-F34))</f>
        <v/>
      </c>
      <c r="H34" s="30">
        <f>IF(OR(D34="",E34="",D34*E34=0),"",F34/(D34*E34))</f>
        <v/>
      </c>
      <c r="I34" s="26" t="n"/>
      <c r="J34" s="26" t="n"/>
    </row>
    <row r="35">
      <c r="A35" s="25" t="n"/>
      <c r="B35" s="26" t="n"/>
      <c r="C35" s="26" t="n"/>
      <c r="D35" s="26" t="n"/>
      <c r="E35" s="27" t="n"/>
      <c r="F35" s="28" t="n"/>
      <c r="G35" s="29">
        <f>IF(OR(C35="",D35=""),"",IF(C35="Buy",-(D35*E35+F35),D35*E35-F35))</f>
        <v/>
      </c>
      <c r="H35" s="30">
        <f>IF(OR(D35="",E35="",D35*E35=0),"",F35/(D35*E35))</f>
        <v/>
      </c>
      <c r="I35" s="26" t="n"/>
      <c r="J35" s="26" t="n"/>
    </row>
    <row r="36">
      <c r="A36" s="25" t="n"/>
      <c r="B36" s="26" t="n"/>
      <c r="C36" s="26" t="n"/>
      <c r="D36" s="26" t="n"/>
      <c r="E36" s="27" t="n"/>
      <c r="F36" s="28" t="n"/>
      <c r="G36" s="29">
        <f>IF(OR(C36="",D36=""),"",IF(C36="Buy",-(D36*E36+F36),D36*E36-F36))</f>
        <v/>
      </c>
      <c r="H36" s="30">
        <f>IF(OR(D36="",E36="",D36*E36=0),"",F36/(D36*E36))</f>
        <v/>
      </c>
      <c r="I36" s="26" t="n"/>
      <c r="J36" s="26" t="n"/>
    </row>
    <row r="37">
      <c r="A37" s="25" t="n"/>
      <c r="B37" s="26" t="n"/>
      <c r="C37" s="26" t="n"/>
      <c r="D37" s="26" t="n"/>
      <c r="E37" s="27" t="n"/>
      <c r="F37" s="28" t="n"/>
      <c r="G37" s="29">
        <f>IF(OR(C37="",D37=""),"",IF(C37="Buy",-(D37*E37+F37),D37*E37-F37))</f>
        <v/>
      </c>
      <c r="H37" s="30">
        <f>IF(OR(D37="",E37="",D37*E37=0),"",F37/(D37*E37))</f>
        <v/>
      </c>
      <c r="I37" s="26" t="n"/>
      <c r="J37" s="26" t="n"/>
    </row>
    <row r="38">
      <c r="A38" s="25" t="n"/>
      <c r="B38" s="26" t="n"/>
      <c r="C38" s="26" t="n"/>
      <c r="D38" s="26" t="n"/>
      <c r="E38" s="27" t="n"/>
      <c r="F38" s="28" t="n"/>
      <c r="G38" s="29">
        <f>IF(OR(C38="",D38=""),"",IF(C38="Buy",-(D38*E38+F38),D38*E38-F38))</f>
        <v/>
      </c>
      <c r="H38" s="30">
        <f>IF(OR(D38="",E38="",D38*E38=0),"",F38/(D38*E38))</f>
        <v/>
      </c>
      <c r="I38" s="26" t="n"/>
      <c r="J38" s="26" t="n"/>
    </row>
    <row r="39">
      <c r="A39" s="25" t="n"/>
      <c r="B39" s="26" t="n"/>
      <c r="C39" s="26" t="n"/>
      <c r="D39" s="26" t="n"/>
      <c r="E39" s="27" t="n"/>
      <c r="F39" s="28" t="n"/>
      <c r="G39" s="29">
        <f>IF(OR(C39="",D39=""),"",IF(C39="Buy",-(D39*E39+F39),D39*E39-F39))</f>
        <v/>
      </c>
      <c r="H39" s="30">
        <f>IF(OR(D39="",E39="",D39*E39=0),"",F39/(D39*E39))</f>
        <v/>
      </c>
      <c r="I39" s="26" t="n"/>
      <c r="J39" s="26" t="n"/>
    </row>
    <row r="40">
      <c r="A40" s="25" t="n"/>
      <c r="B40" s="26" t="n"/>
      <c r="C40" s="26" t="n"/>
      <c r="D40" s="26" t="n"/>
      <c r="E40" s="27" t="n"/>
      <c r="F40" s="28" t="n"/>
      <c r="G40" s="29">
        <f>IF(OR(C40="",D40=""),"",IF(C40="Buy",-(D40*E40+F40),D40*E40-F40))</f>
        <v/>
      </c>
      <c r="H40" s="30">
        <f>IF(OR(D40="",E40="",D40*E40=0),"",F40/(D40*E40))</f>
        <v/>
      </c>
      <c r="I40" s="26" t="n"/>
      <c r="J40" s="26" t="n"/>
    </row>
    <row r="41">
      <c r="A41" s="25" t="n"/>
      <c r="B41" s="26" t="n"/>
      <c r="C41" s="26" t="n"/>
      <c r="D41" s="26" t="n"/>
      <c r="E41" s="27" t="n"/>
      <c r="F41" s="28" t="n"/>
      <c r="G41" s="29">
        <f>IF(OR(C41="",D41=""),"",IF(C41="Buy",-(D41*E41+F41),D41*E41-F41))</f>
        <v/>
      </c>
      <c r="H41" s="30">
        <f>IF(OR(D41="",E41="",D41*E41=0),"",F41/(D41*E41))</f>
        <v/>
      </c>
      <c r="I41" s="26" t="n"/>
      <c r="J41" s="26" t="n"/>
    </row>
    <row r="42">
      <c r="A42" s="25" t="n"/>
      <c r="B42" s="26" t="n"/>
      <c r="C42" s="26" t="n"/>
      <c r="D42" s="26" t="n"/>
      <c r="E42" s="27" t="n"/>
      <c r="F42" s="28" t="n"/>
      <c r="G42" s="29">
        <f>IF(OR(C42="",D42=""),"",IF(C42="Buy",-(D42*E42+F42),D42*E42-F42))</f>
        <v/>
      </c>
      <c r="H42" s="30">
        <f>IF(OR(D42="",E42="",D42*E42=0),"",F42/(D42*E42))</f>
        <v/>
      </c>
      <c r="I42" s="26" t="n"/>
      <c r="J42" s="26" t="n"/>
    </row>
    <row r="43">
      <c r="A43" s="25" t="n"/>
      <c r="B43" s="26" t="n"/>
      <c r="C43" s="26" t="n"/>
      <c r="D43" s="26" t="n"/>
      <c r="E43" s="27" t="n"/>
      <c r="F43" s="28" t="n"/>
      <c r="G43" s="29">
        <f>IF(OR(C43="",D43=""),"",IF(C43="Buy",-(D43*E43+F43),D43*E43-F43))</f>
        <v/>
      </c>
      <c r="H43" s="30">
        <f>IF(OR(D43="",E43="",D43*E43=0),"",F43/(D43*E43))</f>
        <v/>
      </c>
      <c r="I43" s="26" t="n"/>
      <c r="J43" s="26" t="n"/>
    </row>
    <row r="44">
      <c r="A44" s="25" t="n"/>
      <c r="B44" s="26" t="n"/>
      <c r="C44" s="26" t="n"/>
      <c r="D44" s="26" t="n"/>
      <c r="E44" s="27" t="n"/>
      <c r="F44" s="28" t="n"/>
      <c r="G44" s="29">
        <f>IF(OR(C44="",D44=""),"",IF(C44="Buy",-(D44*E44+F44),D44*E44-F44))</f>
        <v/>
      </c>
      <c r="H44" s="30">
        <f>IF(OR(D44="",E44="",D44*E44=0),"",F44/(D44*E44))</f>
        <v/>
      </c>
      <c r="I44" s="26" t="n"/>
      <c r="J44" s="26" t="n"/>
    </row>
    <row r="45">
      <c r="A45" s="25" t="n"/>
      <c r="B45" s="26" t="n"/>
      <c r="C45" s="26" t="n"/>
      <c r="D45" s="26" t="n"/>
      <c r="E45" s="27" t="n"/>
      <c r="F45" s="28" t="n"/>
      <c r="G45" s="29">
        <f>IF(OR(C45="",D45=""),"",IF(C45="Buy",-(D45*E45+F45),D45*E45-F45))</f>
        <v/>
      </c>
      <c r="H45" s="30">
        <f>IF(OR(D45="",E45="",D45*E45=0),"",F45/(D45*E45))</f>
        <v/>
      </c>
      <c r="I45" s="26" t="n"/>
      <c r="J45" s="26" t="n"/>
    </row>
    <row r="46">
      <c r="A46" s="25" t="n"/>
      <c r="B46" s="26" t="n"/>
      <c r="C46" s="26" t="n"/>
      <c r="D46" s="26" t="n"/>
      <c r="E46" s="27" t="n"/>
      <c r="F46" s="28" t="n"/>
      <c r="G46" s="29">
        <f>IF(OR(C46="",D46=""),"",IF(C46="Buy",-(D46*E46+F46),D46*E46-F46))</f>
        <v/>
      </c>
      <c r="H46" s="30">
        <f>IF(OR(D46="",E46="",D46*E46=0),"",F46/(D46*E46))</f>
        <v/>
      </c>
      <c r="I46" s="26" t="n"/>
      <c r="J46" s="26" t="n"/>
    </row>
    <row r="47">
      <c r="A47" s="25" t="n"/>
      <c r="B47" s="26" t="n"/>
      <c r="C47" s="26" t="n"/>
      <c r="D47" s="26" t="n"/>
      <c r="E47" s="27" t="n"/>
      <c r="F47" s="28" t="n"/>
      <c r="G47" s="29">
        <f>IF(OR(C47="",D47=""),"",IF(C47="Buy",-(D47*E47+F47),D47*E47-F47))</f>
        <v/>
      </c>
      <c r="H47" s="30">
        <f>IF(OR(D47="",E47="",D47*E47=0),"",F47/(D47*E47))</f>
        <v/>
      </c>
      <c r="I47" s="26" t="n"/>
      <c r="J47" s="26" t="n"/>
    </row>
    <row r="48">
      <c r="A48" s="25" t="n"/>
      <c r="B48" s="26" t="n"/>
      <c r="C48" s="26" t="n"/>
      <c r="D48" s="26" t="n"/>
      <c r="E48" s="27" t="n"/>
      <c r="F48" s="28" t="n"/>
      <c r="G48" s="29">
        <f>IF(OR(C48="",D48=""),"",IF(C48="Buy",-(D48*E48+F48),D48*E48-F48))</f>
        <v/>
      </c>
      <c r="H48" s="30">
        <f>IF(OR(D48="",E48="",D48*E48=0),"",F48/(D48*E48))</f>
        <v/>
      </c>
      <c r="I48" s="26" t="n"/>
      <c r="J48" s="26" t="n"/>
    </row>
    <row r="49">
      <c r="A49" s="25" t="n"/>
      <c r="B49" s="26" t="n"/>
      <c r="C49" s="26" t="n"/>
      <c r="D49" s="26" t="n"/>
      <c r="E49" s="27" t="n"/>
      <c r="F49" s="28" t="n"/>
      <c r="G49" s="29">
        <f>IF(OR(C49="",D49=""),"",IF(C49="Buy",-(D49*E49+F49),D49*E49-F49))</f>
        <v/>
      </c>
      <c r="H49" s="30">
        <f>IF(OR(D49="",E49="",D49*E49=0),"",F49/(D49*E49))</f>
        <v/>
      </c>
      <c r="I49" s="26" t="n"/>
      <c r="J49" s="26" t="n"/>
    </row>
    <row r="50">
      <c r="A50" s="25" t="n"/>
      <c r="B50" s="26" t="n"/>
      <c r="C50" s="26" t="n"/>
      <c r="D50" s="26" t="n"/>
      <c r="E50" s="27" t="n"/>
      <c r="F50" s="28" t="n"/>
      <c r="G50" s="29">
        <f>IF(OR(C50="",D50=""),"",IF(C50="Buy",-(D50*E50+F50),D50*E50-F50))</f>
        <v/>
      </c>
      <c r="H50" s="30">
        <f>IF(OR(D50="",E50="",D50*E50=0),"",F50/(D50*E50))</f>
        <v/>
      </c>
      <c r="I50" s="26" t="n"/>
      <c r="J50" s="26" t="n"/>
    </row>
    <row r="51">
      <c r="A51" s="25" t="n"/>
      <c r="B51" s="26" t="n"/>
      <c r="C51" s="26" t="n"/>
      <c r="D51" s="26" t="n"/>
      <c r="E51" s="27" t="n"/>
      <c r="F51" s="28" t="n"/>
      <c r="G51" s="29">
        <f>IF(OR(C51="",D51=""),"",IF(C51="Buy",-(D51*E51+F51),D51*E51-F51))</f>
        <v/>
      </c>
      <c r="H51" s="30">
        <f>IF(OR(D51="",E51="",D51*E51=0),"",F51/(D51*E51))</f>
        <v/>
      </c>
      <c r="I51" s="26" t="n"/>
      <c r="J51" s="26" t="n"/>
    </row>
    <row r="52">
      <c r="A52" s="25" t="n"/>
      <c r="B52" s="26" t="n"/>
      <c r="C52" s="26" t="n"/>
      <c r="D52" s="26" t="n"/>
      <c r="E52" s="27" t="n"/>
      <c r="F52" s="28" t="n"/>
      <c r="G52" s="29">
        <f>IF(OR(C52="",D52=""),"",IF(C52="Buy",-(D52*E52+F52),D52*E52-F52))</f>
        <v/>
      </c>
      <c r="H52" s="30">
        <f>IF(OR(D52="",E52="",D52*E52=0),"",F52/(D52*E52))</f>
        <v/>
      </c>
      <c r="I52" s="26" t="n"/>
      <c r="J52" s="26" t="n"/>
    </row>
    <row r="53">
      <c r="A53" s="25" t="n"/>
      <c r="B53" s="26" t="n"/>
      <c r="C53" s="26" t="n"/>
      <c r="D53" s="26" t="n"/>
      <c r="E53" s="27" t="n"/>
      <c r="F53" s="28" t="n"/>
      <c r="G53" s="29">
        <f>IF(OR(C53="",D53=""),"",IF(C53="Buy",-(D53*E53+F53),D53*E53-F53))</f>
        <v/>
      </c>
      <c r="H53" s="30">
        <f>IF(OR(D53="",E53="",D53*E53=0),"",F53/(D53*E53))</f>
        <v/>
      </c>
      <c r="I53" s="26" t="n"/>
      <c r="J53" s="26" t="n"/>
    </row>
    <row r="54">
      <c r="A54" s="25" t="n"/>
      <c r="B54" s="26" t="n"/>
      <c r="C54" s="26" t="n"/>
      <c r="D54" s="26" t="n"/>
      <c r="E54" s="27" t="n"/>
      <c r="F54" s="28" t="n"/>
      <c r="G54" s="29">
        <f>IF(OR(C54="",D54=""),"",IF(C54="Buy",-(D54*E54+F54),D54*E54-F54))</f>
        <v/>
      </c>
      <c r="H54" s="30">
        <f>IF(OR(D54="",E54="",D54*E54=0),"",F54/(D54*E54))</f>
        <v/>
      </c>
      <c r="I54" s="26" t="n"/>
      <c r="J54" s="26" t="n"/>
    </row>
    <row r="55">
      <c r="A55" s="25" t="n"/>
      <c r="B55" s="26" t="n"/>
      <c r="C55" s="26" t="n"/>
      <c r="D55" s="26" t="n"/>
      <c r="E55" s="27" t="n"/>
      <c r="F55" s="28" t="n"/>
      <c r="G55" s="29">
        <f>IF(OR(C55="",D55=""),"",IF(C55="Buy",-(D55*E55+F55),D55*E55-F55))</f>
        <v/>
      </c>
      <c r="H55" s="30">
        <f>IF(OR(D55="",E55="",D55*E55=0),"",F55/(D55*E55))</f>
        <v/>
      </c>
      <c r="I55" s="26" t="n"/>
      <c r="J55" s="26" t="n"/>
    </row>
    <row r="56">
      <c r="A56" s="25" t="n"/>
      <c r="B56" s="26" t="n"/>
      <c r="C56" s="26" t="n"/>
      <c r="D56" s="26" t="n"/>
      <c r="E56" s="27" t="n"/>
      <c r="F56" s="28" t="n"/>
      <c r="G56" s="29">
        <f>IF(OR(C56="",D56=""),"",IF(C56="Buy",-(D56*E56+F56),D56*E56-F56))</f>
        <v/>
      </c>
      <c r="H56" s="30">
        <f>IF(OR(D56="",E56="",D56*E56=0),"",F56/(D56*E56))</f>
        <v/>
      </c>
      <c r="I56" s="26" t="n"/>
      <c r="J56" s="26" t="n"/>
    </row>
    <row r="57">
      <c r="A57" s="25" t="n"/>
      <c r="B57" s="26" t="n"/>
      <c r="C57" s="26" t="n"/>
      <c r="D57" s="26" t="n"/>
      <c r="E57" s="27" t="n"/>
      <c r="F57" s="28" t="n"/>
      <c r="G57" s="29">
        <f>IF(OR(C57="",D57=""),"",IF(C57="Buy",-(D57*E57+F57),D57*E57-F57))</f>
        <v/>
      </c>
      <c r="H57" s="30">
        <f>IF(OR(D57="",E57="",D57*E57=0),"",F57/(D57*E57))</f>
        <v/>
      </c>
      <c r="I57" s="26" t="n"/>
      <c r="J57" s="26" t="n"/>
    </row>
    <row r="58">
      <c r="A58" s="25" t="n"/>
      <c r="B58" s="26" t="n"/>
      <c r="C58" s="26" t="n"/>
      <c r="D58" s="26" t="n"/>
      <c r="E58" s="27" t="n"/>
      <c r="F58" s="28" t="n"/>
      <c r="G58" s="29">
        <f>IF(OR(C58="",D58=""),"",IF(C58="Buy",-(D58*E58+F58),D58*E58-F58))</f>
        <v/>
      </c>
      <c r="H58" s="30">
        <f>IF(OR(D58="",E58="",D58*E58=0),"",F58/(D58*E58))</f>
        <v/>
      </c>
      <c r="I58" s="26" t="n"/>
      <c r="J58" s="26" t="n"/>
    </row>
    <row r="59">
      <c r="A59" s="25" t="n"/>
      <c r="B59" s="26" t="n"/>
      <c r="C59" s="26" t="n"/>
      <c r="D59" s="26" t="n"/>
      <c r="E59" s="27" t="n"/>
      <c r="F59" s="28" t="n"/>
      <c r="G59" s="29">
        <f>IF(OR(C59="",D59=""),"",IF(C59="Buy",-(D59*E59+F59),D59*E59-F59))</f>
        <v/>
      </c>
      <c r="H59" s="30">
        <f>IF(OR(D59="",E59="",D59*E59=0),"",F59/(D59*E59))</f>
        <v/>
      </c>
      <c r="I59" s="26" t="n"/>
      <c r="J59" s="26" t="n"/>
    </row>
    <row r="60">
      <c r="A60" s="25" t="n"/>
      <c r="B60" s="26" t="n"/>
      <c r="C60" s="26" t="n"/>
      <c r="D60" s="26" t="n"/>
      <c r="E60" s="27" t="n"/>
      <c r="F60" s="28" t="n"/>
      <c r="G60" s="29">
        <f>IF(OR(C60="",D60=""),"",IF(C60="Buy",-(D60*E60+F60),D60*E60-F60))</f>
        <v/>
      </c>
      <c r="H60" s="30">
        <f>IF(OR(D60="",E60="",D60*E60=0),"",F60/(D60*E60))</f>
        <v/>
      </c>
      <c r="I60" s="26" t="n"/>
      <c r="J60" s="26" t="n"/>
    </row>
    <row r="61">
      <c r="A61" s="25" t="n"/>
      <c r="B61" s="26" t="n"/>
      <c r="C61" s="26" t="n"/>
      <c r="D61" s="26" t="n"/>
      <c r="E61" s="27" t="n"/>
      <c r="F61" s="28" t="n"/>
      <c r="G61" s="29">
        <f>IF(OR(C61="",D61=""),"",IF(C61="Buy",-(D61*E61+F61),D61*E61-F61))</f>
        <v/>
      </c>
      <c r="H61" s="30">
        <f>IF(OR(D61="",E61="",D61*E61=0),"",F61/(D61*E61))</f>
        <v/>
      </c>
      <c r="I61" s="26" t="n"/>
      <c r="J61" s="26" t="n"/>
    </row>
    <row r="62">
      <c r="A62" s="25" t="n"/>
      <c r="B62" s="26" t="n"/>
      <c r="C62" s="26" t="n"/>
      <c r="D62" s="26" t="n"/>
      <c r="E62" s="27" t="n"/>
      <c r="F62" s="28" t="n"/>
      <c r="G62" s="29">
        <f>IF(OR(C62="",D62=""),"",IF(C62="Buy",-(D62*E62+F62),D62*E62-F62))</f>
        <v/>
      </c>
      <c r="H62" s="30">
        <f>IF(OR(D62="",E62="",D62*E62=0),"",F62/(D62*E62))</f>
        <v/>
      </c>
      <c r="I62" s="26" t="n"/>
      <c r="J62" s="26" t="n"/>
    </row>
    <row r="63">
      <c r="A63" s="25" t="n"/>
      <c r="B63" s="26" t="n"/>
      <c r="C63" s="26" t="n"/>
      <c r="D63" s="26" t="n"/>
      <c r="E63" s="27" t="n"/>
      <c r="F63" s="28" t="n"/>
      <c r="G63" s="29">
        <f>IF(OR(C63="",D63=""),"",IF(C63="Buy",-(D63*E63+F63),D63*E63-F63))</f>
        <v/>
      </c>
      <c r="H63" s="30">
        <f>IF(OR(D63="",E63="",D63*E63=0),"",F63/(D63*E63))</f>
        <v/>
      </c>
      <c r="I63" s="26" t="n"/>
      <c r="J63" s="26" t="n"/>
    </row>
    <row r="64">
      <c r="A64" s="25" t="n"/>
      <c r="B64" s="26" t="n"/>
      <c r="C64" s="26" t="n"/>
      <c r="D64" s="26" t="n"/>
      <c r="E64" s="27" t="n"/>
      <c r="F64" s="28" t="n"/>
      <c r="G64" s="29">
        <f>IF(OR(C64="",D64=""),"",IF(C64="Buy",-(D64*E64+F64),D64*E64-F64))</f>
        <v/>
      </c>
      <c r="H64" s="30">
        <f>IF(OR(D64="",E64="",D64*E64=0),"",F64/(D64*E64))</f>
        <v/>
      </c>
      <c r="I64" s="26" t="n"/>
      <c r="J64" s="26" t="n"/>
    </row>
    <row r="65">
      <c r="A65" s="25" t="n"/>
      <c r="B65" s="26" t="n"/>
      <c r="C65" s="26" t="n"/>
      <c r="D65" s="26" t="n"/>
      <c r="E65" s="27" t="n"/>
      <c r="F65" s="28" t="n"/>
      <c r="G65" s="29">
        <f>IF(OR(C65="",D65=""),"",IF(C65="Buy",-(D65*E65+F65),D65*E65-F65))</f>
        <v/>
      </c>
      <c r="H65" s="30">
        <f>IF(OR(D65="",E65="",D65*E65=0),"",F65/(D65*E65))</f>
        <v/>
      </c>
      <c r="I65" s="26" t="n"/>
      <c r="J65" s="26" t="n"/>
    </row>
    <row r="66">
      <c r="A66" s="25" t="n"/>
      <c r="B66" s="26" t="n"/>
      <c r="C66" s="26" t="n"/>
      <c r="D66" s="26" t="n"/>
      <c r="E66" s="27" t="n"/>
      <c r="F66" s="28" t="n"/>
      <c r="G66" s="29">
        <f>IF(OR(C66="",D66=""),"",IF(C66="Buy",-(D66*E66+F66),D66*E66-F66))</f>
        <v/>
      </c>
      <c r="H66" s="30">
        <f>IF(OR(D66="",E66="",D66*E66=0),"",F66/(D66*E66))</f>
        <v/>
      </c>
      <c r="I66" s="26" t="n"/>
      <c r="J66" s="26" t="n"/>
    </row>
    <row r="67">
      <c r="A67" s="25" t="n"/>
      <c r="B67" s="26" t="n"/>
      <c r="C67" s="26" t="n"/>
      <c r="D67" s="26" t="n"/>
      <c r="E67" s="27" t="n"/>
      <c r="F67" s="28" t="n"/>
      <c r="G67" s="29">
        <f>IF(OR(C67="",D67=""),"",IF(C67="Buy",-(D67*E67+F67),D67*E67-F67))</f>
        <v/>
      </c>
      <c r="H67" s="30">
        <f>IF(OR(D67="",E67="",D67*E67=0),"",F67/(D67*E67))</f>
        <v/>
      </c>
      <c r="I67" s="26" t="n"/>
      <c r="J67" s="26" t="n"/>
    </row>
    <row r="68">
      <c r="A68" s="25" t="n"/>
      <c r="B68" s="26" t="n"/>
      <c r="C68" s="26" t="n"/>
      <c r="D68" s="26" t="n"/>
      <c r="E68" s="27" t="n"/>
      <c r="F68" s="28" t="n"/>
      <c r="G68" s="29">
        <f>IF(OR(C68="",D68=""),"",IF(C68="Buy",-(D68*E68+F68),D68*E68-F68))</f>
        <v/>
      </c>
      <c r="H68" s="30">
        <f>IF(OR(D68="",E68="",D68*E68=0),"",F68/(D68*E68))</f>
        <v/>
      </c>
      <c r="I68" s="26" t="n"/>
      <c r="J68" s="26" t="n"/>
    </row>
    <row r="69">
      <c r="A69" s="25" t="n"/>
      <c r="B69" s="26" t="n"/>
      <c r="C69" s="26" t="n"/>
      <c r="D69" s="26" t="n"/>
      <c r="E69" s="27" t="n"/>
      <c r="F69" s="28" t="n"/>
      <c r="G69" s="29">
        <f>IF(OR(C69="",D69=""),"",IF(C69="Buy",-(D69*E69+F69),D69*E69-F69))</f>
        <v/>
      </c>
      <c r="H69" s="30">
        <f>IF(OR(D69="",E69="",D69*E69=0),"",F69/(D69*E69))</f>
        <v/>
      </c>
      <c r="I69" s="26" t="n"/>
      <c r="J69" s="26" t="n"/>
    </row>
    <row r="70">
      <c r="A70" s="25" t="n"/>
      <c r="B70" s="26" t="n"/>
      <c r="C70" s="26" t="n"/>
      <c r="D70" s="26" t="n"/>
      <c r="E70" s="27" t="n"/>
      <c r="F70" s="28" t="n"/>
      <c r="G70" s="29">
        <f>IF(OR(C70="",D70=""),"",IF(C70="Buy",-(D70*E70+F70),D70*E70-F70))</f>
        <v/>
      </c>
      <c r="H70" s="30">
        <f>IF(OR(D70="",E70="",D70*E70=0),"",F70/(D70*E70))</f>
        <v/>
      </c>
      <c r="I70" s="26" t="n"/>
      <c r="J70" s="26" t="n"/>
    </row>
    <row r="71">
      <c r="A71" s="25" t="n"/>
      <c r="B71" s="26" t="n"/>
      <c r="C71" s="26" t="n"/>
      <c r="D71" s="26" t="n"/>
      <c r="E71" s="27" t="n"/>
      <c r="F71" s="28" t="n"/>
      <c r="G71" s="29">
        <f>IF(OR(C71="",D71=""),"",IF(C71="Buy",-(D71*E71+F71),D71*E71-F71))</f>
        <v/>
      </c>
      <c r="H71" s="30">
        <f>IF(OR(D71="",E71="",D71*E71=0),"",F71/(D71*E71))</f>
        <v/>
      </c>
      <c r="I71" s="26" t="n"/>
      <c r="J71" s="26" t="n"/>
    </row>
    <row r="72">
      <c r="A72" s="25" t="n"/>
      <c r="B72" s="26" t="n"/>
      <c r="C72" s="26" t="n"/>
      <c r="D72" s="26" t="n"/>
      <c r="E72" s="27" t="n"/>
      <c r="F72" s="28" t="n"/>
      <c r="G72" s="29">
        <f>IF(OR(C72="",D72=""),"",IF(C72="Buy",-(D72*E72+F72),D72*E72-F72))</f>
        <v/>
      </c>
      <c r="H72" s="30">
        <f>IF(OR(D72="",E72="",D72*E72=0),"",F72/(D72*E72))</f>
        <v/>
      </c>
      <c r="I72" s="26" t="n"/>
      <c r="J72" s="26" t="n"/>
    </row>
    <row r="73">
      <c r="A73" s="25" t="n"/>
      <c r="B73" s="26" t="n"/>
      <c r="C73" s="26" t="n"/>
      <c r="D73" s="26" t="n"/>
      <c r="E73" s="27" t="n"/>
      <c r="F73" s="28" t="n"/>
      <c r="G73" s="29">
        <f>IF(OR(C73="",D73=""),"",IF(C73="Buy",-(D73*E73+F73),D73*E73-F73))</f>
        <v/>
      </c>
      <c r="H73" s="30">
        <f>IF(OR(D73="",E73="",D73*E73=0),"",F73/(D73*E73))</f>
        <v/>
      </c>
      <c r="I73" s="26" t="n"/>
      <c r="J73" s="26" t="n"/>
    </row>
    <row r="74">
      <c r="A74" s="25" t="n"/>
      <c r="B74" s="26" t="n"/>
      <c r="C74" s="26" t="n"/>
      <c r="D74" s="26" t="n"/>
      <c r="E74" s="27" t="n"/>
      <c r="F74" s="28" t="n"/>
      <c r="G74" s="29">
        <f>IF(OR(C74="",D74=""),"",IF(C74="Buy",-(D74*E74+F74),D74*E74-F74))</f>
        <v/>
      </c>
      <c r="H74" s="30">
        <f>IF(OR(D74="",E74="",D74*E74=0),"",F74/(D74*E74))</f>
        <v/>
      </c>
      <c r="I74" s="26" t="n"/>
      <c r="J74" s="26" t="n"/>
    </row>
    <row r="75">
      <c r="A75" s="25" t="n"/>
      <c r="B75" s="26" t="n"/>
      <c r="C75" s="26" t="n"/>
      <c r="D75" s="26" t="n"/>
      <c r="E75" s="27" t="n"/>
      <c r="F75" s="28" t="n"/>
      <c r="G75" s="29">
        <f>IF(OR(C75="",D75=""),"",IF(C75="Buy",-(D75*E75+F75),D75*E75-F75))</f>
        <v/>
      </c>
      <c r="H75" s="30">
        <f>IF(OR(D75="",E75="",D75*E75=0),"",F75/(D75*E75))</f>
        <v/>
      </c>
      <c r="I75" s="26" t="n"/>
      <c r="J75" s="26" t="n"/>
    </row>
    <row r="76">
      <c r="A76" s="25" t="n"/>
      <c r="B76" s="26" t="n"/>
      <c r="C76" s="26" t="n"/>
      <c r="D76" s="26" t="n"/>
      <c r="E76" s="27" t="n"/>
      <c r="F76" s="28" t="n"/>
      <c r="G76" s="29">
        <f>IF(OR(C76="",D76=""),"",IF(C76="Buy",-(D76*E76+F76),D76*E76-F76))</f>
        <v/>
      </c>
      <c r="H76" s="30">
        <f>IF(OR(D76="",E76="",D76*E76=0),"",F76/(D76*E76))</f>
        <v/>
      </c>
      <c r="I76" s="26" t="n"/>
      <c r="J76" s="26" t="n"/>
    </row>
    <row r="77">
      <c r="A77" s="25" t="n"/>
      <c r="B77" s="26" t="n"/>
      <c r="C77" s="26" t="n"/>
      <c r="D77" s="26" t="n"/>
      <c r="E77" s="27" t="n"/>
      <c r="F77" s="28" t="n"/>
      <c r="G77" s="29">
        <f>IF(OR(C77="",D77=""),"",IF(C77="Buy",-(D77*E77+F77),D77*E77-F77))</f>
        <v/>
      </c>
      <c r="H77" s="30">
        <f>IF(OR(D77="",E77="",D77*E77=0),"",F77/(D77*E77))</f>
        <v/>
      </c>
      <c r="I77" s="26" t="n"/>
      <c r="J77" s="26" t="n"/>
    </row>
    <row r="78">
      <c r="A78" s="25" t="n"/>
      <c r="B78" s="26" t="n"/>
      <c r="C78" s="26" t="n"/>
      <c r="D78" s="26" t="n"/>
      <c r="E78" s="27" t="n"/>
      <c r="F78" s="28" t="n"/>
      <c r="G78" s="29">
        <f>IF(OR(C78="",D78=""),"",IF(C78="Buy",-(D78*E78+F78),D78*E78-F78))</f>
        <v/>
      </c>
      <c r="H78" s="30">
        <f>IF(OR(D78="",E78="",D78*E78=0),"",F78/(D78*E78))</f>
        <v/>
      </c>
      <c r="I78" s="26" t="n"/>
      <c r="J78" s="26" t="n"/>
    </row>
    <row r="79">
      <c r="A79" s="25" t="n"/>
      <c r="B79" s="26" t="n"/>
      <c r="C79" s="26" t="n"/>
      <c r="D79" s="26" t="n"/>
      <c r="E79" s="27" t="n"/>
      <c r="F79" s="28" t="n"/>
      <c r="G79" s="29">
        <f>IF(OR(C79="",D79=""),"",IF(C79="Buy",-(D79*E79+F79),D79*E79-F79))</f>
        <v/>
      </c>
      <c r="H79" s="30">
        <f>IF(OR(D79="",E79="",D79*E79=0),"",F79/(D79*E79))</f>
        <v/>
      </c>
      <c r="I79" s="26" t="n"/>
      <c r="J79" s="26" t="n"/>
    </row>
    <row r="80">
      <c r="A80" s="25" t="n"/>
      <c r="B80" s="26" t="n"/>
      <c r="C80" s="26" t="n"/>
      <c r="D80" s="26" t="n"/>
      <c r="E80" s="27" t="n"/>
      <c r="F80" s="28" t="n"/>
      <c r="G80" s="29">
        <f>IF(OR(C80="",D80=""),"",IF(C80="Buy",-(D80*E80+F80),D80*E80-F80))</f>
        <v/>
      </c>
      <c r="H80" s="30">
        <f>IF(OR(D80="",E80="",D80*E80=0),"",F80/(D80*E80))</f>
        <v/>
      </c>
      <c r="I80" s="26" t="n"/>
      <c r="J80" s="26" t="n"/>
    </row>
    <row r="81">
      <c r="A81" s="25" t="n"/>
      <c r="B81" s="26" t="n"/>
      <c r="C81" s="26" t="n"/>
      <c r="D81" s="26" t="n"/>
      <c r="E81" s="27" t="n"/>
      <c r="F81" s="28" t="n"/>
      <c r="G81" s="29">
        <f>IF(OR(C81="",D81=""),"",IF(C81="Buy",-(D81*E81+F81),D81*E81-F81))</f>
        <v/>
      </c>
      <c r="H81" s="30">
        <f>IF(OR(D81="",E81="",D81*E81=0),"",F81/(D81*E81))</f>
        <v/>
      </c>
      <c r="I81" s="26" t="n"/>
      <c r="J81" s="26" t="n"/>
    </row>
    <row r="82">
      <c r="A82" s="25" t="n"/>
      <c r="B82" s="26" t="n"/>
      <c r="C82" s="26" t="n"/>
      <c r="D82" s="26" t="n"/>
      <c r="E82" s="27" t="n"/>
      <c r="F82" s="28" t="n"/>
      <c r="G82" s="29">
        <f>IF(OR(C82="",D82=""),"",IF(C82="Buy",-(D82*E82+F82),D82*E82-F82))</f>
        <v/>
      </c>
      <c r="H82" s="30">
        <f>IF(OR(D82="",E82="",D82*E82=0),"",F82/(D82*E82))</f>
        <v/>
      </c>
      <c r="I82" s="26" t="n"/>
      <c r="J82" s="26" t="n"/>
    </row>
    <row r="83">
      <c r="A83" s="25" t="n"/>
      <c r="B83" s="26" t="n"/>
      <c r="C83" s="26" t="n"/>
      <c r="D83" s="26" t="n"/>
      <c r="E83" s="27" t="n"/>
      <c r="F83" s="28" t="n"/>
      <c r="G83" s="29">
        <f>IF(OR(C83="",D83=""),"",IF(C83="Buy",-(D83*E83+F83),D83*E83-F83))</f>
        <v/>
      </c>
      <c r="H83" s="30">
        <f>IF(OR(D83="",E83="",D83*E83=0),"",F83/(D83*E83))</f>
        <v/>
      </c>
      <c r="I83" s="26" t="n"/>
      <c r="J83" s="26" t="n"/>
    </row>
    <row r="84">
      <c r="A84" s="25" t="n"/>
      <c r="B84" s="26" t="n"/>
      <c r="C84" s="26" t="n"/>
      <c r="D84" s="26" t="n"/>
      <c r="E84" s="27" t="n"/>
      <c r="F84" s="28" t="n"/>
      <c r="G84" s="29">
        <f>IF(OR(C84="",D84=""),"",IF(C84="Buy",-(D84*E84+F84),D84*E84-F84))</f>
        <v/>
      </c>
      <c r="H84" s="30">
        <f>IF(OR(D84="",E84="",D84*E84=0),"",F84/(D84*E84))</f>
        <v/>
      </c>
      <c r="I84" s="26" t="n"/>
      <c r="J84" s="26" t="n"/>
    </row>
    <row r="85">
      <c r="A85" s="25" t="n"/>
      <c r="B85" s="26" t="n"/>
      <c r="C85" s="26" t="n"/>
      <c r="D85" s="26" t="n"/>
      <c r="E85" s="27" t="n"/>
      <c r="F85" s="28" t="n"/>
      <c r="G85" s="29">
        <f>IF(OR(C85="",D85=""),"",IF(C85="Buy",-(D85*E85+F85),D85*E85-F85))</f>
        <v/>
      </c>
      <c r="H85" s="30">
        <f>IF(OR(D85="",E85="",D85*E85=0),"",F85/(D85*E85))</f>
        <v/>
      </c>
      <c r="I85" s="26" t="n"/>
      <c r="J85" s="26" t="n"/>
    </row>
    <row r="86">
      <c r="A86" s="25" t="n"/>
      <c r="B86" s="26" t="n"/>
      <c r="C86" s="26" t="n"/>
      <c r="D86" s="26" t="n"/>
      <c r="E86" s="27" t="n"/>
      <c r="F86" s="28" t="n"/>
      <c r="G86" s="29">
        <f>IF(OR(C86="",D86=""),"",IF(C86="Buy",-(D86*E86+F86),D86*E86-F86))</f>
        <v/>
      </c>
      <c r="H86" s="30">
        <f>IF(OR(D86="",E86="",D86*E86=0),"",F86/(D86*E86))</f>
        <v/>
      </c>
      <c r="I86" s="26" t="n"/>
      <c r="J86" s="26" t="n"/>
    </row>
    <row r="87">
      <c r="A87" s="25" t="n"/>
      <c r="B87" s="26" t="n"/>
      <c r="C87" s="26" t="n"/>
      <c r="D87" s="26" t="n"/>
      <c r="E87" s="27" t="n"/>
      <c r="F87" s="28" t="n"/>
      <c r="G87" s="29">
        <f>IF(OR(C87="",D87=""),"",IF(C87="Buy",-(D87*E87+F87),D87*E87-F87))</f>
        <v/>
      </c>
      <c r="H87" s="30">
        <f>IF(OR(D87="",E87="",D87*E87=0),"",F87/(D87*E87))</f>
        <v/>
      </c>
      <c r="I87" s="26" t="n"/>
      <c r="J87" s="26" t="n"/>
    </row>
    <row r="88">
      <c r="A88" s="25" t="n"/>
      <c r="B88" s="26" t="n"/>
      <c r="C88" s="26" t="n"/>
      <c r="D88" s="26" t="n"/>
      <c r="E88" s="27" t="n"/>
      <c r="F88" s="28" t="n"/>
      <c r="G88" s="29">
        <f>IF(OR(C88="",D88=""),"",IF(C88="Buy",-(D88*E88+F88),D88*E88-F88))</f>
        <v/>
      </c>
      <c r="H88" s="30">
        <f>IF(OR(D88="",E88="",D88*E88=0),"",F88/(D88*E88))</f>
        <v/>
      </c>
      <c r="I88" s="26" t="n"/>
      <c r="J88" s="26" t="n"/>
    </row>
    <row r="89">
      <c r="A89" s="25" t="n"/>
      <c r="B89" s="26" t="n"/>
      <c r="C89" s="26" t="n"/>
      <c r="D89" s="26" t="n"/>
      <c r="E89" s="27" t="n"/>
      <c r="F89" s="28" t="n"/>
      <c r="G89" s="29">
        <f>IF(OR(C89="",D89=""),"",IF(C89="Buy",-(D89*E89+F89),D89*E89-F89))</f>
        <v/>
      </c>
      <c r="H89" s="30">
        <f>IF(OR(D89="",E89="",D89*E89=0),"",F89/(D89*E89))</f>
        <v/>
      </c>
      <c r="I89" s="26" t="n"/>
      <c r="J89" s="26" t="n"/>
    </row>
    <row r="90">
      <c r="A90" s="25" t="n"/>
      <c r="B90" s="26" t="n"/>
      <c r="C90" s="26" t="n"/>
      <c r="D90" s="26" t="n"/>
      <c r="E90" s="27" t="n"/>
      <c r="F90" s="28" t="n"/>
      <c r="G90" s="29">
        <f>IF(OR(C90="",D90=""),"",IF(C90="Buy",-(D90*E90+F90),D90*E90-F90))</f>
        <v/>
      </c>
      <c r="H90" s="30">
        <f>IF(OR(D90="",E90="",D90*E90=0),"",F90/(D90*E90))</f>
        <v/>
      </c>
      <c r="I90" s="26" t="n"/>
      <c r="J90" s="26" t="n"/>
    </row>
    <row r="91">
      <c r="A91" s="25" t="n"/>
      <c r="B91" s="26" t="n"/>
      <c r="C91" s="26" t="n"/>
      <c r="D91" s="26" t="n"/>
      <c r="E91" s="27" t="n"/>
      <c r="F91" s="28" t="n"/>
      <c r="G91" s="29">
        <f>IF(OR(C91="",D91=""),"",IF(C91="Buy",-(D91*E91+F91),D91*E91-F91))</f>
        <v/>
      </c>
      <c r="H91" s="30">
        <f>IF(OR(D91="",E91="",D91*E91=0),"",F91/(D91*E91))</f>
        <v/>
      </c>
      <c r="I91" s="26" t="n"/>
      <c r="J91" s="26" t="n"/>
    </row>
    <row r="92">
      <c r="A92" s="25" t="n"/>
      <c r="B92" s="26" t="n"/>
      <c r="C92" s="26" t="n"/>
      <c r="D92" s="26" t="n"/>
      <c r="E92" s="27" t="n"/>
      <c r="F92" s="28" t="n"/>
      <c r="G92" s="29">
        <f>IF(OR(C92="",D92=""),"",IF(C92="Buy",-(D92*E92+F92),D92*E92-F92))</f>
        <v/>
      </c>
      <c r="H92" s="30">
        <f>IF(OR(D92="",E92="",D92*E92=0),"",F92/(D92*E92))</f>
        <v/>
      </c>
      <c r="I92" s="26" t="n"/>
      <c r="J92" s="26" t="n"/>
    </row>
    <row r="93">
      <c r="A93" s="25" t="n"/>
      <c r="B93" s="26" t="n"/>
      <c r="C93" s="26" t="n"/>
      <c r="D93" s="26" t="n"/>
      <c r="E93" s="27" t="n"/>
      <c r="F93" s="28" t="n"/>
      <c r="G93" s="29">
        <f>IF(OR(C93="",D93=""),"",IF(C93="Buy",-(D93*E93+F93),D93*E93-F93))</f>
        <v/>
      </c>
      <c r="H93" s="30">
        <f>IF(OR(D93="",E93="",D93*E93=0),"",F93/(D93*E93))</f>
        <v/>
      </c>
      <c r="I93" s="26" t="n"/>
      <c r="J93" s="26" t="n"/>
    </row>
    <row r="94">
      <c r="A94" s="25" t="n"/>
      <c r="B94" s="26" t="n"/>
      <c r="C94" s="26" t="n"/>
      <c r="D94" s="26" t="n"/>
      <c r="E94" s="27" t="n"/>
      <c r="F94" s="28" t="n"/>
      <c r="G94" s="29">
        <f>IF(OR(C94="",D94=""),"",IF(C94="Buy",-(D94*E94+F94),D94*E94-F94))</f>
        <v/>
      </c>
      <c r="H94" s="30">
        <f>IF(OR(D94="",E94="",D94*E94=0),"",F94/(D94*E94))</f>
        <v/>
      </c>
      <c r="I94" s="26" t="n"/>
      <c r="J94" s="26" t="n"/>
    </row>
    <row r="95">
      <c r="A95" s="25" t="n"/>
      <c r="B95" s="26" t="n"/>
      <c r="C95" s="26" t="n"/>
      <c r="D95" s="26" t="n"/>
      <c r="E95" s="27" t="n"/>
      <c r="F95" s="28" t="n"/>
      <c r="G95" s="29">
        <f>IF(OR(C95="",D95=""),"",IF(C95="Buy",-(D95*E95+F95),D95*E95-F95))</f>
        <v/>
      </c>
      <c r="H95" s="30">
        <f>IF(OR(D95="",E95="",D95*E95=0),"",F95/(D95*E95))</f>
        <v/>
      </c>
      <c r="I95" s="26" t="n"/>
      <c r="J95" s="26" t="n"/>
    </row>
    <row r="96">
      <c r="A96" s="25" t="n"/>
      <c r="B96" s="26" t="n"/>
      <c r="C96" s="26" t="n"/>
      <c r="D96" s="26" t="n"/>
      <c r="E96" s="27" t="n"/>
      <c r="F96" s="28" t="n"/>
      <c r="G96" s="29">
        <f>IF(OR(C96="",D96=""),"",IF(C96="Buy",-(D96*E96+F96),D96*E96-F96))</f>
        <v/>
      </c>
      <c r="H96" s="30">
        <f>IF(OR(D96="",E96="",D96*E96=0),"",F96/(D96*E96))</f>
        <v/>
      </c>
      <c r="I96" s="26" t="n"/>
      <c r="J96" s="26" t="n"/>
    </row>
    <row r="97">
      <c r="A97" s="25" t="n"/>
      <c r="B97" s="26" t="n"/>
      <c r="C97" s="26" t="n"/>
      <c r="D97" s="26" t="n"/>
      <c r="E97" s="27" t="n"/>
      <c r="F97" s="28" t="n"/>
      <c r="G97" s="29">
        <f>IF(OR(C97="",D97=""),"",IF(C97="Buy",-(D97*E97+F97),D97*E97-F97))</f>
        <v/>
      </c>
      <c r="H97" s="30">
        <f>IF(OR(D97="",E97="",D97*E97=0),"",F97/(D97*E97))</f>
        <v/>
      </c>
      <c r="I97" s="26" t="n"/>
      <c r="J97" s="26" t="n"/>
    </row>
    <row r="98">
      <c r="A98" s="25" t="n"/>
      <c r="B98" s="26" t="n"/>
      <c r="C98" s="26" t="n"/>
      <c r="D98" s="26" t="n"/>
      <c r="E98" s="27" t="n"/>
      <c r="F98" s="28" t="n"/>
      <c r="G98" s="29">
        <f>IF(OR(C98="",D98=""),"",IF(C98="Buy",-(D98*E98+F98),D98*E98-F98))</f>
        <v/>
      </c>
      <c r="H98" s="30">
        <f>IF(OR(D98="",E98="",D98*E98=0),"",F98/(D98*E98))</f>
        <v/>
      </c>
      <c r="I98" s="26" t="n"/>
      <c r="J98" s="26" t="n"/>
    </row>
    <row r="99">
      <c r="A99" s="25" t="n"/>
      <c r="B99" s="26" t="n"/>
      <c r="C99" s="26" t="n"/>
      <c r="D99" s="26" t="n"/>
      <c r="E99" s="27" t="n"/>
      <c r="F99" s="28" t="n"/>
      <c r="G99" s="29">
        <f>IF(OR(C99="",D99=""),"",IF(C99="Buy",-(D99*E99+F99),D99*E99-F99))</f>
        <v/>
      </c>
      <c r="H99" s="30">
        <f>IF(OR(D99="",E99="",D99*E99=0),"",F99/(D99*E99))</f>
        <v/>
      </c>
      <c r="I99" s="26" t="n"/>
      <c r="J99" s="26" t="n"/>
    </row>
    <row r="100">
      <c r="A100" s="25" t="n"/>
      <c r="B100" s="26" t="n"/>
      <c r="C100" s="26" t="n"/>
      <c r="D100" s="26" t="n"/>
      <c r="E100" s="27" t="n"/>
      <c r="F100" s="28" t="n"/>
      <c r="G100" s="29">
        <f>IF(OR(C100="",D100=""),"",IF(C100="Buy",-(D100*E100+F100),D100*E100-F100))</f>
        <v/>
      </c>
      <c r="H100" s="30">
        <f>IF(OR(D100="",E100="",D100*E100=0),"",F100/(D100*E100))</f>
        <v/>
      </c>
      <c r="I100" s="26" t="n"/>
      <c r="J100" s="26" t="n"/>
    </row>
    <row r="101">
      <c r="A101" s="25" t="n"/>
      <c r="B101" s="26" t="n"/>
      <c r="C101" s="26" t="n"/>
      <c r="D101" s="26" t="n"/>
      <c r="E101" s="27" t="n"/>
      <c r="F101" s="28" t="n"/>
      <c r="G101" s="29">
        <f>IF(OR(C101="",D101=""),"",IF(C101="Buy",-(D101*E101+F101),D101*E101-F101))</f>
        <v/>
      </c>
      <c r="H101" s="30">
        <f>IF(OR(D101="",E101="",D101*E101=0),"",F101/(D101*E101))</f>
        <v/>
      </c>
      <c r="I101" s="26" t="n"/>
      <c r="J101" s="26" t="n"/>
    </row>
    <row r="102">
      <c r="A102" s="25" t="n"/>
      <c r="B102" s="26" t="n"/>
      <c r="C102" s="26" t="n"/>
      <c r="D102" s="26" t="n"/>
      <c r="E102" s="27" t="n"/>
      <c r="F102" s="28" t="n"/>
      <c r="G102" s="29">
        <f>IF(OR(C102="",D102=""),"",IF(C102="Buy",-(D102*E102+F102),D102*E102-F102))</f>
        <v/>
      </c>
      <c r="H102" s="30">
        <f>IF(OR(D102="",E102="",D102*E102=0),"",F102/(D102*E102))</f>
        <v/>
      </c>
      <c r="I102" s="26" t="n"/>
      <c r="J102" s="26" t="n"/>
    </row>
    <row r="103">
      <c r="A103" s="25" t="n"/>
      <c r="B103" s="26" t="n"/>
      <c r="C103" s="26" t="n"/>
      <c r="D103" s="26" t="n"/>
      <c r="E103" s="27" t="n"/>
      <c r="F103" s="28" t="n"/>
      <c r="G103" s="29">
        <f>IF(OR(C103="",D103=""),"",IF(C103="Buy",-(D103*E103+F103),D103*E103-F103))</f>
        <v/>
      </c>
      <c r="H103" s="30">
        <f>IF(OR(D103="",E103="",D103*E103=0),"",F103/(D103*E103))</f>
        <v/>
      </c>
      <c r="I103" s="26" t="n"/>
      <c r="J103" s="26" t="n"/>
    </row>
    <row r="104">
      <c r="A104" s="25" t="n"/>
      <c r="B104" s="26" t="n"/>
      <c r="C104" s="26" t="n"/>
      <c r="D104" s="26" t="n"/>
      <c r="E104" s="27" t="n"/>
      <c r="F104" s="28" t="n"/>
      <c r="G104" s="29">
        <f>IF(OR(C104="",D104=""),"",IF(C104="Buy",-(D104*E104+F104),D104*E104-F104))</f>
        <v/>
      </c>
      <c r="H104" s="30">
        <f>IF(OR(D104="",E104="",D104*E104=0),"",F104/(D104*E104))</f>
        <v/>
      </c>
      <c r="I104" s="26" t="n"/>
      <c r="J104" s="26" t="n"/>
    </row>
    <row r="105">
      <c r="A105" s="25" t="n"/>
      <c r="B105" s="26" t="n"/>
      <c r="C105" s="26" t="n"/>
      <c r="D105" s="26" t="n"/>
      <c r="E105" s="27" t="n"/>
      <c r="F105" s="28" t="n"/>
      <c r="G105" s="29">
        <f>IF(OR(C105="",D105=""),"",IF(C105="Buy",-(D105*E105+F105),D105*E105-F105))</f>
        <v/>
      </c>
      <c r="H105" s="30">
        <f>IF(OR(D105="",E105="",D105*E105=0),"",F105/(D105*E105))</f>
        <v/>
      </c>
      <c r="I105" s="26" t="n"/>
      <c r="J105" s="26" t="n"/>
    </row>
    <row r="106">
      <c r="A106" s="25" t="n"/>
      <c r="B106" s="26" t="n"/>
      <c r="C106" s="26" t="n"/>
      <c r="D106" s="26" t="n"/>
      <c r="E106" s="27" t="n"/>
      <c r="F106" s="28" t="n"/>
      <c r="G106" s="29">
        <f>IF(OR(C106="",D106=""),"",IF(C106="Buy",-(D106*E106+F106),D106*E106-F106))</f>
        <v/>
      </c>
      <c r="H106" s="30">
        <f>IF(OR(D106="",E106="",D106*E106=0),"",F106/(D106*E106))</f>
        <v/>
      </c>
      <c r="I106" s="26" t="n"/>
      <c r="J106" s="26" t="n"/>
    </row>
    <row r="107">
      <c r="A107" s="25" t="n"/>
      <c r="B107" s="26" t="n"/>
      <c r="C107" s="26" t="n"/>
      <c r="D107" s="26" t="n"/>
      <c r="E107" s="27" t="n"/>
      <c r="F107" s="28" t="n"/>
      <c r="G107" s="29">
        <f>IF(OR(C107="",D107=""),"",IF(C107="Buy",-(D107*E107+F107),D107*E107-F107))</f>
        <v/>
      </c>
      <c r="H107" s="30">
        <f>IF(OR(D107="",E107="",D107*E107=0),"",F107/(D107*E107))</f>
        <v/>
      </c>
      <c r="I107" s="26" t="n"/>
      <c r="J107" s="26" t="n"/>
    </row>
    <row r="108">
      <c r="A108" s="25" t="n"/>
      <c r="B108" s="26" t="n"/>
      <c r="C108" s="26" t="n"/>
      <c r="D108" s="26" t="n"/>
      <c r="E108" s="27" t="n"/>
      <c r="F108" s="28" t="n"/>
      <c r="G108" s="29">
        <f>IF(OR(C108="",D108=""),"",IF(C108="Buy",-(D108*E108+F108),D108*E108-F108))</f>
        <v/>
      </c>
      <c r="H108" s="30">
        <f>IF(OR(D108="",E108="",D108*E108=0),"",F108/(D108*E108))</f>
        <v/>
      </c>
      <c r="I108" s="26" t="n"/>
      <c r="J108" s="26" t="n"/>
    </row>
    <row r="109">
      <c r="A109" s="25" t="n"/>
      <c r="B109" s="26" t="n"/>
      <c r="C109" s="26" t="n"/>
      <c r="D109" s="26" t="n"/>
      <c r="E109" s="27" t="n"/>
      <c r="F109" s="28" t="n"/>
      <c r="G109" s="29">
        <f>IF(OR(C109="",D109=""),"",IF(C109="Buy",-(D109*E109+F109),D109*E109-F109))</f>
        <v/>
      </c>
      <c r="H109" s="30">
        <f>IF(OR(D109="",E109="",D109*E109=0),"",F109/(D109*E109))</f>
        <v/>
      </c>
      <c r="I109" s="26" t="n"/>
      <c r="J109" s="26" t="n"/>
    </row>
    <row r="110">
      <c r="A110" s="25" t="n"/>
      <c r="B110" s="26" t="n"/>
      <c r="C110" s="26" t="n"/>
      <c r="D110" s="26" t="n"/>
      <c r="E110" s="27" t="n"/>
      <c r="F110" s="28" t="n"/>
      <c r="G110" s="29">
        <f>IF(OR(C110="",D110=""),"",IF(C110="Buy",-(D110*E110+F110),D110*E110-F110))</f>
        <v/>
      </c>
      <c r="H110" s="30">
        <f>IF(OR(D110="",E110="",D110*E110=0),"",F110/(D110*E110))</f>
        <v/>
      </c>
      <c r="I110" s="26" t="n"/>
      <c r="J110" s="26" t="n"/>
    </row>
    <row r="111">
      <c r="A111" s="25" t="n"/>
      <c r="B111" s="26" t="n"/>
      <c r="C111" s="26" t="n"/>
      <c r="D111" s="26" t="n"/>
      <c r="E111" s="27" t="n"/>
      <c r="F111" s="28" t="n"/>
      <c r="G111" s="29">
        <f>IF(OR(C111="",D111=""),"",IF(C111="Buy",-(D111*E111+F111),D111*E111-F111))</f>
        <v/>
      </c>
      <c r="H111" s="30">
        <f>IF(OR(D111="",E111="",D111*E111=0),"",F111/(D111*E111))</f>
        <v/>
      </c>
      <c r="I111" s="26" t="n"/>
      <c r="J111" s="26" t="n"/>
    </row>
    <row r="112">
      <c r="A112" s="25" t="n"/>
      <c r="B112" s="26" t="n"/>
      <c r="C112" s="26" t="n"/>
      <c r="D112" s="26" t="n"/>
      <c r="E112" s="27" t="n"/>
      <c r="F112" s="28" t="n"/>
      <c r="G112" s="29">
        <f>IF(OR(C112="",D112=""),"",IF(C112="Buy",-(D112*E112+F112),D112*E112-F112))</f>
        <v/>
      </c>
      <c r="H112" s="30">
        <f>IF(OR(D112="",E112="",D112*E112=0),"",F112/(D112*E112))</f>
        <v/>
      </c>
      <c r="I112" s="26" t="n"/>
      <c r="J112" s="26" t="n"/>
    </row>
    <row r="113">
      <c r="A113" s="25" t="n"/>
      <c r="B113" s="26" t="n"/>
      <c r="C113" s="26" t="n"/>
      <c r="D113" s="26" t="n"/>
      <c r="E113" s="27" t="n"/>
      <c r="F113" s="28" t="n"/>
      <c r="G113" s="29">
        <f>IF(OR(C113="",D113=""),"",IF(C113="Buy",-(D113*E113+F113),D113*E113-F113))</f>
        <v/>
      </c>
      <c r="H113" s="30">
        <f>IF(OR(D113="",E113="",D113*E113=0),"",F113/(D113*E113))</f>
        <v/>
      </c>
      <c r="I113" s="26" t="n"/>
      <c r="J113" s="26" t="n"/>
    </row>
    <row r="114">
      <c r="A114" s="25" t="n"/>
      <c r="B114" s="26" t="n"/>
      <c r="C114" s="26" t="n"/>
      <c r="D114" s="26" t="n"/>
      <c r="E114" s="27" t="n"/>
      <c r="F114" s="28" t="n"/>
      <c r="G114" s="29">
        <f>IF(OR(C114="",D114=""),"",IF(C114="Buy",-(D114*E114+F114),D114*E114-F114))</f>
        <v/>
      </c>
      <c r="H114" s="30">
        <f>IF(OR(D114="",E114="",D114*E114=0),"",F114/(D114*E114))</f>
        <v/>
      </c>
      <c r="I114" s="26" t="n"/>
      <c r="J114" s="26" t="n"/>
    </row>
    <row r="115">
      <c r="A115" s="25" t="n"/>
      <c r="B115" s="26" t="n"/>
      <c r="C115" s="26" t="n"/>
      <c r="D115" s="26" t="n"/>
      <c r="E115" s="27" t="n"/>
      <c r="F115" s="28" t="n"/>
      <c r="G115" s="29">
        <f>IF(OR(C115="",D115=""),"",IF(C115="Buy",-(D115*E115+F115),D115*E115-F115))</f>
        <v/>
      </c>
      <c r="H115" s="30">
        <f>IF(OR(D115="",E115="",D115*E115=0),"",F115/(D115*E115))</f>
        <v/>
      </c>
      <c r="I115" s="26" t="n"/>
      <c r="J115" s="26" t="n"/>
    </row>
    <row r="116">
      <c r="A116" s="25" t="n"/>
      <c r="B116" s="26" t="n"/>
      <c r="C116" s="26" t="n"/>
      <c r="D116" s="26" t="n"/>
      <c r="E116" s="27" t="n"/>
      <c r="F116" s="28" t="n"/>
      <c r="G116" s="29">
        <f>IF(OR(C116="",D116=""),"",IF(C116="Buy",-(D116*E116+F116),D116*E116-F116))</f>
        <v/>
      </c>
      <c r="H116" s="30">
        <f>IF(OR(D116="",E116="",D116*E116=0),"",F116/(D116*E116))</f>
        <v/>
      </c>
      <c r="I116" s="26" t="n"/>
      <c r="J116" s="26" t="n"/>
    </row>
    <row r="117">
      <c r="A117" s="25" t="n"/>
      <c r="B117" s="26" t="n"/>
      <c r="C117" s="26" t="n"/>
      <c r="D117" s="26" t="n"/>
      <c r="E117" s="27" t="n"/>
      <c r="F117" s="28" t="n"/>
      <c r="G117" s="29">
        <f>IF(OR(C117="",D117=""),"",IF(C117="Buy",-(D117*E117+F117),D117*E117-F117))</f>
        <v/>
      </c>
      <c r="H117" s="30">
        <f>IF(OR(D117="",E117="",D117*E117=0),"",F117/(D117*E117))</f>
        <v/>
      </c>
      <c r="I117" s="26" t="n"/>
      <c r="J117" s="26" t="n"/>
    </row>
    <row r="118">
      <c r="A118" s="25" t="n"/>
      <c r="B118" s="26" t="n"/>
      <c r="C118" s="26" t="n"/>
      <c r="D118" s="26" t="n"/>
      <c r="E118" s="27" t="n"/>
      <c r="F118" s="28" t="n"/>
      <c r="G118" s="29">
        <f>IF(OR(C118="",D118=""),"",IF(C118="Buy",-(D118*E118+F118),D118*E118-F118))</f>
        <v/>
      </c>
      <c r="H118" s="30">
        <f>IF(OR(D118="",E118="",D118*E118=0),"",F118/(D118*E118))</f>
        <v/>
      </c>
      <c r="I118" s="26" t="n"/>
      <c r="J118" s="26" t="n"/>
    </row>
    <row r="119">
      <c r="A119" s="25" t="n"/>
      <c r="B119" s="26" t="n"/>
      <c r="C119" s="26" t="n"/>
      <c r="D119" s="26" t="n"/>
      <c r="E119" s="27" t="n"/>
      <c r="F119" s="28" t="n"/>
      <c r="G119" s="29">
        <f>IF(OR(C119="",D119=""),"",IF(C119="Buy",-(D119*E119+F119),D119*E119-F119))</f>
        <v/>
      </c>
      <c r="H119" s="30">
        <f>IF(OR(D119="",E119="",D119*E119=0),"",F119/(D119*E119))</f>
        <v/>
      </c>
      <c r="I119" s="26" t="n"/>
      <c r="J119" s="26" t="n"/>
    </row>
    <row r="120">
      <c r="A120" s="25" t="n"/>
      <c r="B120" s="26" t="n"/>
      <c r="C120" s="26" t="n"/>
      <c r="D120" s="26" t="n"/>
      <c r="E120" s="27" t="n"/>
      <c r="F120" s="28" t="n"/>
      <c r="G120" s="29">
        <f>IF(OR(C120="",D120=""),"",IF(C120="Buy",-(D120*E120+F120),D120*E120-F120))</f>
        <v/>
      </c>
      <c r="H120" s="30">
        <f>IF(OR(D120="",E120="",D120*E120=0),"",F120/(D120*E120))</f>
        <v/>
      </c>
      <c r="I120" s="26" t="n"/>
      <c r="J120" s="26" t="n"/>
    </row>
    <row r="121">
      <c r="A121" s="25" t="n"/>
      <c r="B121" s="26" t="n"/>
      <c r="C121" s="26" t="n"/>
      <c r="D121" s="26" t="n"/>
      <c r="E121" s="27" t="n"/>
      <c r="F121" s="28" t="n"/>
      <c r="G121" s="29">
        <f>IF(OR(C121="",D121=""),"",IF(C121="Buy",-(D121*E121+F121),D121*E121-F121))</f>
        <v/>
      </c>
      <c r="H121" s="30">
        <f>IF(OR(D121="",E121="",D121*E121=0),"",F121/(D121*E121))</f>
        <v/>
      </c>
      <c r="I121" s="26" t="n"/>
      <c r="J121" s="26" t="n"/>
    </row>
    <row r="122">
      <c r="A122" s="25" t="n"/>
      <c r="B122" s="26" t="n"/>
      <c r="C122" s="26" t="n"/>
      <c r="D122" s="26" t="n"/>
      <c r="E122" s="27" t="n"/>
      <c r="F122" s="28" t="n"/>
      <c r="G122" s="29">
        <f>IF(OR(C122="",D122=""),"",IF(C122="Buy",-(D122*E122+F122),D122*E122-F122))</f>
        <v/>
      </c>
      <c r="H122" s="30">
        <f>IF(OR(D122="",E122="",D122*E122=0),"",F122/(D122*E122))</f>
        <v/>
      </c>
      <c r="I122" s="26" t="n"/>
      <c r="J122" s="26" t="n"/>
    </row>
    <row r="123">
      <c r="A123" s="25" t="n"/>
      <c r="B123" s="26" t="n"/>
      <c r="C123" s="26" t="n"/>
      <c r="D123" s="26" t="n"/>
      <c r="E123" s="27" t="n"/>
      <c r="F123" s="28" t="n"/>
      <c r="G123" s="29">
        <f>IF(OR(C123="",D123=""),"",IF(C123="Buy",-(D123*E123+F123),D123*E123-F123))</f>
        <v/>
      </c>
      <c r="H123" s="30">
        <f>IF(OR(D123="",E123="",D123*E123=0),"",F123/(D123*E123))</f>
        <v/>
      </c>
      <c r="I123" s="26" t="n"/>
      <c r="J123" s="26" t="n"/>
    </row>
    <row r="124">
      <c r="A124" s="25" t="n"/>
      <c r="B124" s="26" t="n"/>
      <c r="C124" s="26" t="n"/>
      <c r="D124" s="26" t="n"/>
      <c r="E124" s="27" t="n"/>
      <c r="F124" s="28" t="n"/>
      <c r="G124" s="29">
        <f>IF(OR(C124="",D124=""),"",IF(C124="Buy",-(D124*E124+F124),D124*E124-F124))</f>
        <v/>
      </c>
      <c r="H124" s="30">
        <f>IF(OR(D124="",E124="",D124*E124=0),"",F124/(D124*E124))</f>
        <v/>
      </c>
      <c r="I124" s="26" t="n"/>
      <c r="J124" s="26" t="n"/>
    </row>
    <row r="125">
      <c r="A125" s="25" t="n"/>
      <c r="B125" s="26" t="n"/>
      <c r="C125" s="26" t="n"/>
      <c r="D125" s="26" t="n"/>
      <c r="E125" s="27" t="n"/>
      <c r="F125" s="28" t="n"/>
      <c r="G125" s="29">
        <f>IF(OR(C125="",D125=""),"",IF(C125="Buy",-(D125*E125+F125),D125*E125-F125))</f>
        <v/>
      </c>
      <c r="H125" s="30">
        <f>IF(OR(D125="",E125="",D125*E125=0),"",F125/(D125*E125))</f>
        <v/>
      </c>
      <c r="I125" s="26" t="n"/>
      <c r="J125" s="26" t="n"/>
    </row>
    <row r="126">
      <c r="A126" s="25" t="n"/>
      <c r="B126" s="26" t="n"/>
      <c r="C126" s="26" t="n"/>
      <c r="D126" s="26" t="n"/>
      <c r="E126" s="27" t="n"/>
      <c r="F126" s="28" t="n"/>
      <c r="G126" s="29">
        <f>IF(OR(C126="",D126=""),"",IF(C126="Buy",-(D126*E126+F126),D126*E126-F126))</f>
        <v/>
      </c>
      <c r="H126" s="30">
        <f>IF(OR(D126="",E126="",D126*E126=0),"",F126/(D126*E126))</f>
        <v/>
      </c>
      <c r="I126" s="26" t="n"/>
      <c r="J126" s="26" t="n"/>
    </row>
    <row r="127">
      <c r="A127" s="25" t="n"/>
      <c r="B127" s="26" t="n"/>
      <c r="C127" s="26" t="n"/>
      <c r="D127" s="26" t="n"/>
      <c r="E127" s="27" t="n"/>
      <c r="F127" s="28" t="n"/>
      <c r="G127" s="29">
        <f>IF(OR(C127="",D127=""),"",IF(C127="Buy",-(D127*E127+F127),D127*E127-F127))</f>
        <v/>
      </c>
      <c r="H127" s="30">
        <f>IF(OR(D127="",E127="",D127*E127=0),"",F127/(D127*E127))</f>
        <v/>
      </c>
      <c r="I127" s="26" t="n"/>
      <c r="J127" s="26" t="n"/>
    </row>
    <row r="128">
      <c r="A128" s="25" t="n"/>
      <c r="B128" s="26" t="n"/>
      <c r="C128" s="26" t="n"/>
      <c r="D128" s="26" t="n"/>
      <c r="E128" s="27" t="n"/>
      <c r="F128" s="28" t="n"/>
      <c r="G128" s="29">
        <f>IF(OR(C128="",D128=""),"",IF(C128="Buy",-(D128*E128+F128),D128*E128-F128))</f>
        <v/>
      </c>
      <c r="H128" s="30">
        <f>IF(OR(D128="",E128="",D128*E128=0),"",F128/(D128*E128))</f>
        <v/>
      </c>
      <c r="I128" s="26" t="n"/>
      <c r="J128" s="26" t="n"/>
    </row>
    <row r="129">
      <c r="A129" s="25" t="n"/>
      <c r="B129" s="26" t="n"/>
      <c r="C129" s="26" t="n"/>
      <c r="D129" s="26" t="n"/>
      <c r="E129" s="27" t="n"/>
      <c r="F129" s="28" t="n"/>
      <c r="G129" s="29">
        <f>IF(OR(C129="",D129=""),"",IF(C129="Buy",-(D129*E129+F129),D129*E129-F129))</f>
        <v/>
      </c>
      <c r="H129" s="30">
        <f>IF(OR(D129="",E129="",D129*E129=0),"",F129/(D129*E129))</f>
        <v/>
      </c>
      <c r="I129" s="26" t="n"/>
      <c r="J129" s="26" t="n"/>
    </row>
    <row r="130">
      <c r="A130" s="25" t="n"/>
      <c r="B130" s="26" t="n"/>
      <c r="C130" s="26" t="n"/>
      <c r="D130" s="26" t="n"/>
      <c r="E130" s="27" t="n"/>
      <c r="F130" s="28" t="n"/>
      <c r="G130" s="29">
        <f>IF(OR(C130="",D130=""),"",IF(C130="Buy",-(D130*E130+F130),D130*E130-F130))</f>
        <v/>
      </c>
      <c r="H130" s="30">
        <f>IF(OR(D130="",E130="",D130*E130=0),"",F130/(D130*E130))</f>
        <v/>
      </c>
      <c r="I130" s="26" t="n"/>
      <c r="J130" s="26" t="n"/>
    </row>
    <row r="131">
      <c r="A131" s="25" t="n"/>
      <c r="B131" s="26" t="n"/>
      <c r="C131" s="26" t="n"/>
      <c r="D131" s="26" t="n"/>
      <c r="E131" s="27" t="n"/>
      <c r="F131" s="28" t="n"/>
      <c r="G131" s="29">
        <f>IF(OR(C131="",D131=""),"",IF(C131="Buy",-(D131*E131+F131),D131*E131-F131))</f>
        <v/>
      </c>
      <c r="H131" s="30">
        <f>IF(OR(D131="",E131="",D131*E131=0),"",F131/(D131*E131))</f>
        <v/>
      </c>
      <c r="I131" s="26" t="n"/>
      <c r="J131" s="26" t="n"/>
    </row>
    <row r="132">
      <c r="A132" s="25" t="n"/>
      <c r="B132" s="26" t="n"/>
      <c r="C132" s="26" t="n"/>
      <c r="D132" s="26" t="n"/>
      <c r="E132" s="27" t="n"/>
      <c r="F132" s="28" t="n"/>
      <c r="G132" s="29">
        <f>IF(OR(C132="",D132=""),"",IF(C132="Buy",-(D132*E132+F132),D132*E132-F132))</f>
        <v/>
      </c>
      <c r="H132" s="30">
        <f>IF(OR(D132="",E132="",D132*E132=0),"",F132/(D132*E132))</f>
        <v/>
      </c>
      <c r="I132" s="26" t="n"/>
      <c r="J132" s="26" t="n"/>
    </row>
    <row r="133">
      <c r="A133" s="25" t="n"/>
      <c r="B133" s="26" t="n"/>
      <c r="C133" s="26" t="n"/>
      <c r="D133" s="26" t="n"/>
      <c r="E133" s="27" t="n"/>
      <c r="F133" s="28" t="n"/>
      <c r="G133" s="29">
        <f>IF(OR(C133="",D133=""),"",IF(C133="Buy",-(D133*E133+F133),D133*E133-F133))</f>
        <v/>
      </c>
      <c r="H133" s="30">
        <f>IF(OR(D133="",E133="",D133*E133=0),"",F133/(D133*E133))</f>
        <v/>
      </c>
      <c r="I133" s="26" t="n"/>
      <c r="J133" s="26" t="n"/>
    </row>
    <row r="134">
      <c r="A134" s="25" t="n"/>
      <c r="B134" s="26" t="n"/>
      <c r="C134" s="26" t="n"/>
      <c r="D134" s="26" t="n"/>
      <c r="E134" s="27" t="n"/>
      <c r="F134" s="28" t="n"/>
      <c r="G134" s="29">
        <f>IF(OR(C134="",D134=""),"",IF(C134="Buy",-(D134*E134+F134),D134*E134-F134))</f>
        <v/>
      </c>
      <c r="H134" s="30">
        <f>IF(OR(D134="",E134="",D134*E134=0),"",F134/(D134*E134))</f>
        <v/>
      </c>
      <c r="I134" s="26" t="n"/>
      <c r="J134" s="26" t="n"/>
    </row>
    <row r="135">
      <c r="A135" s="25" t="n"/>
      <c r="B135" s="26" t="n"/>
      <c r="C135" s="26" t="n"/>
      <c r="D135" s="26" t="n"/>
      <c r="E135" s="27" t="n"/>
      <c r="F135" s="28" t="n"/>
      <c r="G135" s="29">
        <f>IF(OR(C135="",D135=""),"",IF(C135="Buy",-(D135*E135+F135),D135*E135-F135))</f>
        <v/>
      </c>
      <c r="H135" s="30">
        <f>IF(OR(D135="",E135="",D135*E135=0),"",F135/(D135*E135))</f>
        <v/>
      </c>
      <c r="I135" s="26" t="n"/>
      <c r="J135" s="26" t="n"/>
    </row>
    <row r="136">
      <c r="A136" s="25" t="n"/>
      <c r="B136" s="26" t="n"/>
      <c r="C136" s="26" t="n"/>
      <c r="D136" s="26" t="n"/>
      <c r="E136" s="27" t="n"/>
      <c r="F136" s="28" t="n"/>
      <c r="G136" s="29">
        <f>IF(OR(C136="",D136=""),"",IF(C136="Buy",-(D136*E136+F136),D136*E136-F136))</f>
        <v/>
      </c>
      <c r="H136" s="30">
        <f>IF(OR(D136="",E136="",D136*E136=0),"",F136/(D136*E136))</f>
        <v/>
      </c>
      <c r="I136" s="26" t="n"/>
      <c r="J136" s="26" t="n"/>
    </row>
    <row r="137">
      <c r="A137" s="25" t="n"/>
      <c r="B137" s="26" t="n"/>
      <c r="C137" s="26" t="n"/>
      <c r="D137" s="26" t="n"/>
      <c r="E137" s="27" t="n"/>
      <c r="F137" s="28" t="n"/>
      <c r="G137" s="29">
        <f>IF(OR(C137="",D137=""),"",IF(C137="Buy",-(D137*E137+F137),D137*E137-F137))</f>
        <v/>
      </c>
      <c r="H137" s="30">
        <f>IF(OR(D137="",E137="",D137*E137=0),"",F137/(D137*E137))</f>
        <v/>
      </c>
      <c r="I137" s="26" t="n"/>
      <c r="J137" s="26" t="n"/>
    </row>
    <row r="138">
      <c r="A138" s="25" t="n"/>
      <c r="B138" s="26" t="n"/>
      <c r="C138" s="26" t="n"/>
      <c r="D138" s="26" t="n"/>
      <c r="E138" s="27" t="n"/>
      <c r="F138" s="28" t="n"/>
      <c r="G138" s="29">
        <f>IF(OR(C138="",D138=""),"",IF(C138="Buy",-(D138*E138+F138),D138*E138-F138))</f>
        <v/>
      </c>
      <c r="H138" s="30">
        <f>IF(OR(D138="",E138="",D138*E138=0),"",F138/(D138*E138))</f>
        <v/>
      </c>
      <c r="I138" s="26" t="n"/>
      <c r="J138" s="26" t="n"/>
    </row>
    <row r="139">
      <c r="A139" s="25" t="n"/>
      <c r="B139" s="26" t="n"/>
      <c r="C139" s="26" t="n"/>
      <c r="D139" s="26" t="n"/>
      <c r="E139" s="27" t="n"/>
      <c r="F139" s="28" t="n"/>
      <c r="G139" s="29">
        <f>IF(OR(C139="",D139=""),"",IF(C139="Buy",-(D139*E139+F139),D139*E139-F139))</f>
        <v/>
      </c>
      <c r="H139" s="30">
        <f>IF(OR(D139="",E139="",D139*E139=0),"",F139/(D139*E139))</f>
        <v/>
      </c>
      <c r="I139" s="26" t="n"/>
      <c r="J139" s="26" t="n"/>
    </row>
    <row r="140">
      <c r="A140" s="25" t="n"/>
      <c r="B140" s="26" t="n"/>
      <c r="C140" s="26" t="n"/>
      <c r="D140" s="26" t="n"/>
      <c r="E140" s="27" t="n"/>
      <c r="F140" s="28" t="n"/>
      <c r="G140" s="29">
        <f>IF(OR(C140="",D140=""),"",IF(C140="Buy",-(D140*E140+F140),D140*E140-F140))</f>
        <v/>
      </c>
      <c r="H140" s="30">
        <f>IF(OR(D140="",E140="",D140*E140=0),"",F140/(D140*E140))</f>
        <v/>
      </c>
      <c r="I140" s="26" t="n"/>
      <c r="J140" s="26" t="n"/>
    </row>
    <row r="141">
      <c r="A141" s="25" t="n"/>
      <c r="B141" s="26" t="n"/>
      <c r="C141" s="26" t="n"/>
      <c r="D141" s="26" t="n"/>
      <c r="E141" s="27" t="n"/>
      <c r="F141" s="28" t="n"/>
      <c r="G141" s="29">
        <f>IF(OR(C141="",D141=""),"",IF(C141="Buy",-(D141*E141+F141),D141*E141-F141))</f>
        <v/>
      </c>
      <c r="H141" s="30">
        <f>IF(OR(D141="",E141="",D141*E141=0),"",F141/(D141*E141))</f>
        <v/>
      </c>
      <c r="I141" s="26" t="n"/>
      <c r="J141" s="26" t="n"/>
    </row>
    <row r="142">
      <c r="A142" s="25" t="n"/>
      <c r="B142" s="26" t="n"/>
      <c r="C142" s="26" t="n"/>
      <c r="D142" s="26" t="n"/>
      <c r="E142" s="27" t="n"/>
      <c r="F142" s="28" t="n"/>
      <c r="G142" s="29">
        <f>IF(OR(C142="",D142=""),"",IF(C142="Buy",-(D142*E142+F142),D142*E142-F142))</f>
        <v/>
      </c>
      <c r="H142" s="30">
        <f>IF(OR(D142="",E142="",D142*E142=0),"",F142/(D142*E142))</f>
        <v/>
      </c>
      <c r="I142" s="26" t="n"/>
      <c r="J142" s="26" t="n"/>
    </row>
    <row r="143">
      <c r="A143" s="25" t="n"/>
      <c r="B143" s="26" t="n"/>
      <c r="C143" s="26" t="n"/>
      <c r="D143" s="26" t="n"/>
      <c r="E143" s="27" t="n"/>
      <c r="F143" s="28" t="n"/>
      <c r="G143" s="29">
        <f>IF(OR(C143="",D143=""),"",IF(C143="Buy",-(D143*E143+F143),D143*E143-F143))</f>
        <v/>
      </c>
      <c r="H143" s="30">
        <f>IF(OR(D143="",E143="",D143*E143=0),"",F143/(D143*E143))</f>
        <v/>
      </c>
      <c r="I143" s="26" t="n"/>
      <c r="J143" s="26" t="n"/>
    </row>
    <row r="144">
      <c r="A144" s="25" t="n"/>
      <c r="B144" s="26" t="n"/>
      <c r="C144" s="26" t="n"/>
      <c r="D144" s="26" t="n"/>
      <c r="E144" s="27" t="n"/>
      <c r="F144" s="28" t="n"/>
      <c r="G144" s="29">
        <f>IF(OR(C144="",D144=""),"",IF(C144="Buy",-(D144*E144+F144),D144*E144-F144))</f>
        <v/>
      </c>
      <c r="H144" s="30">
        <f>IF(OR(D144="",E144="",D144*E144=0),"",F144/(D144*E144))</f>
        <v/>
      </c>
      <c r="I144" s="26" t="n"/>
      <c r="J144" s="26" t="n"/>
    </row>
    <row r="145">
      <c r="A145" s="25" t="n"/>
      <c r="B145" s="26" t="n"/>
      <c r="C145" s="26" t="n"/>
      <c r="D145" s="26" t="n"/>
      <c r="E145" s="27" t="n"/>
      <c r="F145" s="28" t="n"/>
      <c r="G145" s="29">
        <f>IF(OR(C145="",D145=""),"",IF(C145="Buy",-(D145*E145+F145),D145*E145-F145))</f>
        <v/>
      </c>
      <c r="H145" s="30">
        <f>IF(OR(D145="",E145="",D145*E145=0),"",F145/(D145*E145))</f>
        <v/>
      </c>
      <c r="I145" s="26" t="n"/>
      <c r="J145" s="26" t="n"/>
    </row>
    <row r="146">
      <c r="A146" s="25" t="n"/>
      <c r="B146" s="26" t="n"/>
      <c r="C146" s="26" t="n"/>
      <c r="D146" s="26" t="n"/>
      <c r="E146" s="27" t="n"/>
      <c r="F146" s="28" t="n"/>
      <c r="G146" s="29">
        <f>IF(OR(C146="",D146=""),"",IF(C146="Buy",-(D146*E146+F146),D146*E146-F146))</f>
        <v/>
      </c>
      <c r="H146" s="30">
        <f>IF(OR(D146="",E146="",D146*E146=0),"",F146/(D146*E146))</f>
        <v/>
      </c>
      <c r="I146" s="26" t="n"/>
      <c r="J146" s="26" t="n"/>
    </row>
    <row r="147">
      <c r="A147" s="25" t="n"/>
      <c r="B147" s="26" t="n"/>
      <c r="C147" s="26" t="n"/>
      <c r="D147" s="26" t="n"/>
      <c r="E147" s="27" t="n"/>
      <c r="F147" s="28" t="n"/>
      <c r="G147" s="29">
        <f>IF(OR(C147="",D147=""),"",IF(C147="Buy",-(D147*E147+F147),D147*E147-F147))</f>
        <v/>
      </c>
      <c r="H147" s="30">
        <f>IF(OR(D147="",E147="",D147*E147=0),"",F147/(D147*E147))</f>
        <v/>
      </c>
      <c r="I147" s="26" t="n"/>
      <c r="J147" s="26" t="n"/>
    </row>
    <row r="148">
      <c r="A148" s="25" t="n"/>
      <c r="B148" s="26" t="n"/>
      <c r="C148" s="26" t="n"/>
      <c r="D148" s="26" t="n"/>
      <c r="E148" s="27" t="n"/>
      <c r="F148" s="28" t="n"/>
      <c r="G148" s="29">
        <f>IF(OR(C148="",D148=""),"",IF(C148="Buy",-(D148*E148+F148),D148*E148-F148))</f>
        <v/>
      </c>
      <c r="H148" s="30">
        <f>IF(OR(D148="",E148="",D148*E148=0),"",F148/(D148*E148))</f>
        <v/>
      </c>
      <c r="I148" s="26" t="n"/>
      <c r="J148" s="26" t="n"/>
    </row>
    <row r="149">
      <c r="A149" s="25" t="n"/>
      <c r="B149" s="26" t="n"/>
      <c r="C149" s="26" t="n"/>
      <c r="D149" s="26" t="n"/>
      <c r="E149" s="27" t="n"/>
      <c r="F149" s="28" t="n"/>
      <c r="G149" s="29">
        <f>IF(OR(C149="",D149=""),"",IF(C149="Buy",-(D149*E149+F149),D149*E149-F149))</f>
        <v/>
      </c>
      <c r="H149" s="30">
        <f>IF(OR(D149="",E149="",D149*E149=0),"",F149/(D149*E149))</f>
        <v/>
      </c>
      <c r="I149" s="26" t="n"/>
      <c r="J149" s="26" t="n"/>
    </row>
    <row r="150">
      <c r="A150" s="25" t="n"/>
      <c r="B150" s="26" t="n"/>
      <c r="C150" s="26" t="n"/>
      <c r="D150" s="26" t="n"/>
      <c r="E150" s="27" t="n"/>
      <c r="F150" s="28" t="n"/>
      <c r="G150" s="29">
        <f>IF(OR(C150="",D150=""),"",IF(C150="Buy",-(D150*E150+F150),D150*E150-F150))</f>
        <v/>
      </c>
      <c r="H150" s="30">
        <f>IF(OR(D150="",E150="",D150*E150=0),"",F150/(D150*E150))</f>
        <v/>
      </c>
      <c r="I150" s="26" t="n"/>
      <c r="J150" s="26" t="n"/>
    </row>
    <row r="151">
      <c r="A151" s="25" t="n"/>
      <c r="B151" s="26" t="n"/>
      <c r="C151" s="26" t="n"/>
      <c r="D151" s="26" t="n"/>
      <c r="E151" s="27" t="n"/>
      <c r="F151" s="28" t="n"/>
      <c r="G151" s="29">
        <f>IF(OR(C151="",D151=""),"",IF(C151="Buy",-(D151*E151+F151),D151*E151-F151))</f>
        <v/>
      </c>
      <c r="H151" s="30">
        <f>IF(OR(D151="",E151="",D151*E151=0),"",F151/(D151*E151))</f>
        <v/>
      </c>
      <c r="I151" s="26" t="n"/>
      <c r="J151" s="26" t="n"/>
    </row>
    <row r="152">
      <c r="A152" s="25" t="n"/>
      <c r="B152" s="26" t="n"/>
      <c r="C152" s="26" t="n"/>
      <c r="D152" s="26" t="n"/>
      <c r="E152" s="27" t="n"/>
      <c r="F152" s="28" t="n"/>
      <c r="G152" s="29">
        <f>IF(OR(C152="",D152=""),"",IF(C152="Buy",-(D152*E152+F152),D152*E152-F152))</f>
        <v/>
      </c>
      <c r="H152" s="30">
        <f>IF(OR(D152="",E152="",D152*E152=0),"",F152/(D152*E152))</f>
        <v/>
      </c>
      <c r="I152" s="26" t="n"/>
      <c r="J152" s="26" t="n"/>
    </row>
    <row r="153">
      <c r="A153" s="25" t="n"/>
      <c r="B153" s="26" t="n"/>
      <c r="C153" s="26" t="n"/>
      <c r="D153" s="26" t="n"/>
      <c r="E153" s="27" t="n"/>
      <c r="F153" s="28" t="n"/>
      <c r="G153" s="29">
        <f>IF(OR(C153="",D153=""),"",IF(C153="Buy",-(D153*E153+F153),D153*E153-F153))</f>
        <v/>
      </c>
      <c r="H153" s="30">
        <f>IF(OR(D153="",E153="",D153*E153=0),"",F153/(D153*E153))</f>
        <v/>
      </c>
      <c r="I153" s="26" t="n"/>
      <c r="J153" s="26" t="n"/>
    </row>
    <row r="154">
      <c r="A154" s="25" t="n"/>
      <c r="B154" s="26" t="n"/>
      <c r="C154" s="26" t="n"/>
      <c r="D154" s="26" t="n"/>
      <c r="E154" s="27" t="n"/>
      <c r="F154" s="28" t="n"/>
      <c r="G154" s="29">
        <f>IF(OR(C154="",D154=""),"",IF(C154="Buy",-(D154*E154+F154),D154*E154-F154))</f>
        <v/>
      </c>
      <c r="H154" s="30">
        <f>IF(OR(D154="",E154="",D154*E154=0),"",F154/(D154*E154))</f>
        <v/>
      </c>
      <c r="I154" s="26" t="n"/>
      <c r="J154" s="26" t="n"/>
    </row>
    <row r="155">
      <c r="A155" s="25" t="n"/>
      <c r="B155" s="26" t="n"/>
      <c r="C155" s="26" t="n"/>
      <c r="D155" s="26" t="n"/>
      <c r="E155" s="27" t="n"/>
      <c r="F155" s="28" t="n"/>
      <c r="G155" s="29">
        <f>IF(OR(C155="",D155=""),"",IF(C155="Buy",-(D155*E155+F155),D155*E155-F155))</f>
        <v/>
      </c>
      <c r="H155" s="30">
        <f>IF(OR(D155="",E155="",D155*E155=0),"",F155/(D155*E155))</f>
        <v/>
      </c>
      <c r="I155" s="26" t="n"/>
      <c r="J155" s="26" t="n"/>
    </row>
    <row r="156">
      <c r="A156" s="25" t="n"/>
      <c r="B156" s="26" t="n"/>
      <c r="C156" s="26" t="n"/>
      <c r="D156" s="26" t="n"/>
      <c r="E156" s="27" t="n"/>
      <c r="F156" s="28" t="n"/>
      <c r="G156" s="29">
        <f>IF(OR(C156="",D156=""),"",IF(C156="Buy",-(D156*E156+F156),D156*E156-F156))</f>
        <v/>
      </c>
      <c r="H156" s="30">
        <f>IF(OR(D156="",E156="",D156*E156=0),"",F156/(D156*E156))</f>
        <v/>
      </c>
      <c r="I156" s="26" t="n"/>
      <c r="J156" s="26" t="n"/>
    </row>
    <row r="157">
      <c r="A157" s="25" t="n"/>
      <c r="B157" s="26" t="n"/>
      <c r="C157" s="26" t="n"/>
      <c r="D157" s="26" t="n"/>
      <c r="E157" s="27" t="n"/>
      <c r="F157" s="28" t="n"/>
      <c r="G157" s="29">
        <f>IF(OR(C157="",D157=""),"",IF(C157="Buy",-(D157*E157+F157),D157*E157-F157))</f>
        <v/>
      </c>
      <c r="H157" s="30">
        <f>IF(OR(D157="",E157="",D157*E157=0),"",F157/(D157*E157))</f>
        <v/>
      </c>
      <c r="I157" s="26" t="n"/>
      <c r="J157" s="26" t="n"/>
    </row>
    <row r="158">
      <c r="A158" s="25" t="n"/>
      <c r="B158" s="26" t="n"/>
      <c r="C158" s="26" t="n"/>
      <c r="D158" s="26" t="n"/>
      <c r="E158" s="27" t="n"/>
      <c r="F158" s="28" t="n"/>
      <c r="G158" s="29">
        <f>IF(OR(C158="",D158=""),"",IF(C158="Buy",-(D158*E158+F158),D158*E158-F158))</f>
        <v/>
      </c>
      <c r="H158" s="30">
        <f>IF(OR(D158="",E158="",D158*E158=0),"",F158/(D158*E158))</f>
        <v/>
      </c>
      <c r="I158" s="26" t="n"/>
      <c r="J158" s="26" t="n"/>
    </row>
    <row r="159">
      <c r="A159" s="25" t="n"/>
      <c r="B159" s="26" t="n"/>
      <c r="C159" s="26" t="n"/>
      <c r="D159" s="26" t="n"/>
      <c r="E159" s="27" t="n"/>
      <c r="F159" s="28" t="n"/>
      <c r="G159" s="29">
        <f>IF(OR(C159="",D159=""),"",IF(C159="Buy",-(D159*E159+F159),D159*E159-F159))</f>
        <v/>
      </c>
      <c r="H159" s="30">
        <f>IF(OR(D159="",E159="",D159*E159=0),"",F159/(D159*E159))</f>
        <v/>
      </c>
      <c r="I159" s="26" t="n"/>
      <c r="J159" s="26" t="n"/>
    </row>
    <row r="160">
      <c r="A160" s="25" t="n"/>
      <c r="B160" s="26" t="n"/>
      <c r="C160" s="26" t="n"/>
      <c r="D160" s="26" t="n"/>
      <c r="E160" s="27" t="n"/>
      <c r="F160" s="28" t="n"/>
      <c r="G160" s="29">
        <f>IF(OR(C160="",D160=""),"",IF(C160="Buy",-(D160*E160+F160),D160*E160-F160))</f>
        <v/>
      </c>
      <c r="H160" s="30">
        <f>IF(OR(D160="",E160="",D160*E160=0),"",F160/(D160*E160))</f>
        <v/>
      </c>
      <c r="I160" s="26" t="n"/>
      <c r="J160" s="26" t="n"/>
    </row>
    <row r="161">
      <c r="A161" s="25" t="n"/>
      <c r="B161" s="26" t="n"/>
      <c r="C161" s="26" t="n"/>
      <c r="D161" s="26" t="n"/>
      <c r="E161" s="27" t="n"/>
      <c r="F161" s="28" t="n"/>
      <c r="G161" s="29">
        <f>IF(OR(C161="",D161=""),"",IF(C161="Buy",-(D161*E161+F161),D161*E161-F161))</f>
        <v/>
      </c>
      <c r="H161" s="30">
        <f>IF(OR(D161="",E161="",D161*E161=0),"",F161/(D161*E161))</f>
        <v/>
      </c>
      <c r="I161" s="26" t="n"/>
      <c r="J161" s="26" t="n"/>
    </row>
    <row r="162">
      <c r="A162" s="25" t="n"/>
      <c r="B162" s="26" t="n"/>
      <c r="C162" s="26" t="n"/>
      <c r="D162" s="26" t="n"/>
      <c r="E162" s="27" t="n"/>
      <c r="F162" s="28" t="n"/>
      <c r="G162" s="29">
        <f>IF(OR(C162="",D162=""),"",IF(C162="Buy",-(D162*E162+F162),D162*E162-F162))</f>
        <v/>
      </c>
      <c r="H162" s="30">
        <f>IF(OR(D162="",E162="",D162*E162=0),"",F162/(D162*E162))</f>
        <v/>
      </c>
      <c r="I162" s="26" t="n"/>
      <c r="J162" s="26" t="n"/>
    </row>
    <row r="163">
      <c r="A163" s="25" t="n"/>
      <c r="B163" s="26" t="n"/>
      <c r="C163" s="26" t="n"/>
      <c r="D163" s="26" t="n"/>
      <c r="E163" s="27" t="n"/>
      <c r="F163" s="28" t="n"/>
      <c r="G163" s="29">
        <f>IF(OR(C163="",D163=""),"",IF(C163="Buy",-(D163*E163+F163),D163*E163-F163))</f>
        <v/>
      </c>
      <c r="H163" s="30">
        <f>IF(OR(D163="",E163="",D163*E163=0),"",F163/(D163*E163))</f>
        <v/>
      </c>
      <c r="I163" s="26" t="n"/>
      <c r="J163" s="26" t="n"/>
    </row>
    <row r="164">
      <c r="A164" s="25" t="n"/>
      <c r="B164" s="26" t="n"/>
      <c r="C164" s="26" t="n"/>
      <c r="D164" s="26" t="n"/>
      <c r="E164" s="27" t="n"/>
      <c r="F164" s="28" t="n"/>
      <c r="G164" s="29">
        <f>IF(OR(C164="",D164=""),"",IF(C164="Buy",-(D164*E164+F164),D164*E164-F164))</f>
        <v/>
      </c>
      <c r="H164" s="30">
        <f>IF(OR(D164="",E164="",D164*E164=0),"",F164/(D164*E164))</f>
        <v/>
      </c>
      <c r="I164" s="26" t="n"/>
      <c r="J164" s="26" t="n"/>
    </row>
    <row r="165">
      <c r="A165" s="25" t="n"/>
      <c r="B165" s="26" t="n"/>
      <c r="C165" s="26" t="n"/>
      <c r="D165" s="26" t="n"/>
      <c r="E165" s="27" t="n"/>
      <c r="F165" s="28" t="n"/>
      <c r="G165" s="29">
        <f>IF(OR(C165="",D165=""),"",IF(C165="Buy",-(D165*E165+F165),D165*E165-F165))</f>
        <v/>
      </c>
      <c r="H165" s="30">
        <f>IF(OR(D165="",E165="",D165*E165=0),"",F165/(D165*E165))</f>
        <v/>
      </c>
      <c r="I165" s="26" t="n"/>
      <c r="J165" s="26" t="n"/>
    </row>
    <row r="166">
      <c r="A166" s="25" t="n"/>
      <c r="B166" s="26" t="n"/>
      <c r="C166" s="26" t="n"/>
      <c r="D166" s="26" t="n"/>
      <c r="E166" s="27" t="n"/>
      <c r="F166" s="28" t="n"/>
      <c r="G166" s="29">
        <f>IF(OR(C166="",D166=""),"",IF(C166="Buy",-(D166*E166+F166),D166*E166-F166))</f>
        <v/>
      </c>
      <c r="H166" s="30">
        <f>IF(OR(D166="",E166="",D166*E166=0),"",F166/(D166*E166))</f>
        <v/>
      </c>
      <c r="I166" s="26" t="n"/>
      <c r="J166" s="26" t="n"/>
    </row>
    <row r="167">
      <c r="A167" s="25" t="n"/>
      <c r="B167" s="26" t="n"/>
      <c r="C167" s="26" t="n"/>
      <c r="D167" s="26" t="n"/>
      <c r="E167" s="27" t="n"/>
      <c r="F167" s="28" t="n"/>
      <c r="G167" s="29">
        <f>IF(OR(C167="",D167=""),"",IF(C167="Buy",-(D167*E167+F167),D167*E167-F167))</f>
        <v/>
      </c>
      <c r="H167" s="30">
        <f>IF(OR(D167="",E167="",D167*E167=0),"",F167/(D167*E167))</f>
        <v/>
      </c>
      <c r="I167" s="26" t="n"/>
      <c r="J167" s="26" t="n"/>
    </row>
    <row r="168">
      <c r="A168" s="25" t="n"/>
      <c r="B168" s="26" t="n"/>
      <c r="C168" s="26" t="n"/>
      <c r="D168" s="26" t="n"/>
      <c r="E168" s="27" t="n"/>
      <c r="F168" s="28" t="n"/>
      <c r="G168" s="29">
        <f>IF(OR(C168="",D168=""),"",IF(C168="Buy",-(D168*E168+F168),D168*E168-F168))</f>
        <v/>
      </c>
      <c r="H168" s="30">
        <f>IF(OR(D168="",E168="",D168*E168=0),"",F168/(D168*E168))</f>
        <v/>
      </c>
      <c r="I168" s="26" t="n"/>
      <c r="J168" s="26" t="n"/>
    </row>
    <row r="169">
      <c r="A169" s="25" t="n"/>
      <c r="B169" s="26" t="n"/>
      <c r="C169" s="26" t="n"/>
      <c r="D169" s="26" t="n"/>
      <c r="E169" s="27" t="n"/>
      <c r="F169" s="28" t="n"/>
      <c r="G169" s="29">
        <f>IF(OR(C169="",D169=""),"",IF(C169="Buy",-(D169*E169+F169),D169*E169-F169))</f>
        <v/>
      </c>
      <c r="H169" s="30">
        <f>IF(OR(D169="",E169="",D169*E169=0),"",F169/(D169*E169))</f>
        <v/>
      </c>
      <c r="I169" s="26" t="n"/>
      <c r="J169" s="26" t="n"/>
    </row>
    <row r="170">
      <c r="A170" s="25" t="n"/>
      <c r="B170" s="26" t="n"/>
      <c r="C170" s="26" t="n"/>
      <c r="D170" s="26" t="n"/>
      <c r="E170" s="27" t="n"/>
      <c r="F170" s="28" t="n"/>
      <c r="G170" s="29">
        <f>IF(OR(C170="",D170=""),"",IF(C170="Buy",-(D170*E170+F170),D170*E170-F170))</f>
        <v/>
      </c>
      <c r="H170" s="30">
        <f>IF(OR(D170="",E170="",D170*E170=0),"",F170/(D170*E170))</f>
        <v/>
      </c>
      <c r="I170" s="26" t="n"/>
      <c r="J170" s="26" t="n"/>
    </row>
    <row r="171">
      <c r="A171" s="25" t="n"/>
      <c r="B171" s="26" t="n"/>
      <c r="C171" s="26" t="n"/>
      <c r="D171" s="26" t="n"/>
      <c r="E171" s="27" t="n"/>
      <c r="F171" s="28" t="n"/>
      <c r="G171" s="29">
        <f>IF(OR(C171="",D171=""),"",IF(C171="Buy",-(D171*E171+F171),D171*E171-F171))</f>
        <v/>
      </c>
      <c r="H171" s="30">
        <f>IF(OR(D171="",E171="",D171*E171=0),"",F171/(D171*E171))</f>
        <v/>
      </c>
      <c r="I171" s="26" t="n"/>
      <c r="J171" s="26" t="n"/>
    </row>
    <row r="172">
      <c r="A172" s="25" t="n"/>
      <c r="B172" s="26" t="n"/>
      <c r="C172" s="26" t="n"/>
      <c r="D172" s="26" t="n"/>
      <c r="E172" s="27" t="n"/>
      <c r="F172" s="28" t="n"/>
      <c r="G172" s="29">
        <f>IF(OR(C172="",D172=""),"",IF(C172="Buy",-(D172*E172+F172),D172*E172-F172))</f>
        <v/>
      </c>
      <c r="H172" s="30">
        <f>IF(OR(D172="",E172="",D172*E172=0),"",F172/(D172*E172))</f>
        <v/>
      </c>
      <c r="I172" s="26" t="n"/>
      <c r="J172" s="26" t="n"/>
    </row>
    <row r="173">
      <c r="A173" s="25" t="n"/>
      <c r="B173" s="26" t="n"/>
      <c r="C173" s="26" t="n"/>
      <c r="D173" s="26" t="n"/>
      <c r="E173" s="27" t="n"/>
      <c r="F173" s="28" t="n"/>
      <c r="G173" s="29">
        <f>IF(OR(C173="",D173=""),"",IF(C173="Buy",-(D173*E173+F173),D173*E173-F173))</f>
        <v/>
      </c>
      <c r="H173" s="30">
        <f>IF(OR(D173="",E173="",D173*E173=0),"",F173/(D173*E173))</f>
        <v/>
      </c>
      <c r="I173" s="26" t="n"/>
      <c r="J173" s="26" t="n"/>
    </row>
    <row r="174">
      <c r="A174" s="25" t="n"/>
      <c r="B174" s="26" t="n"/>
      <c r="C174" s="26" t="n"/>
      <c r="D174" s="26" t="n"/>
      <c r="E174" s="27" t="n"/>
      <c r="F174" s="28" t="n"/>
      <c r="G174" s="29">
        <f>IF(OR(C174="",D174=""),"",IF(C174="Buy",-(D174*E174+F174),D174*E174-F174))</f>
        <v/>
      </c>
      <c r="H174" s="30">
        <f>IF(OR(D174="",E174="",D174*E174=0),"",F174/(D174*E174))</f>
        <v/>
      </c>
      <c r="I174" s="26" t="n"/>
      <c r="J174" s="26" t="n"/>
    </row>
    <row r="175">
      <c r="A175" s="25" t="n"/>
      <c r="B175" s="26" t="n"/>
      <c r="C175" s="26" t="n"/>
      <c r="D175" s="26" t="n"/>
      <c r="E175" s="27" t="n"/>
      <c r="F175" s="28" t="n"/>
      <c r="G175" s="29">
        <f>IF(OR(C175="",D175=""),"",IF(C175="Buy",-(D175*E175+F175),D175*E175-F175))</f>
        <v/>
      </c>
      <c r="H175" s="30">
        <f>IF(OR(D175="",E175="",D175*E175=0),"",F175/(D175*E175))</f>
        <v/>
      </c>
      <c r="I175" s="26" t="n"/>
      <c r="J175" s="26" t="n"/>
    </row>
    <row r="176">
      <c r="A176" s="25" t="n"/>
      <c r="B176" s="26" t="n"/>
      <c r="C176" s="26" t="n"/>
      <c r="D176" s="26" t="n"/>
      <c r="E176" s="27" t="n"/>
      <c r="F176" s="28" t="n"/>
      <c r="G176" s="29">
        <f>IF(OR(C176="",D176=""),"",IF(C176="Buy",-(D176*E176+F176),D176*E176-F176))</f>
        <v/>
      </c>
      <c r="H176" s="30">
        <f>IF(OR(D176="",E176="",D176*E176=0),"",F176/(D176*E176))</f>
        <v/>
      </c>
      <c r="I176" s="26" t="n"/>
      <c r="J176" s="26" t="n"/>
    </row>
    <row r="177">
      <c r="A177" s="25" t="n"/>
      <c r="B177" s="26" t="n"/>
      <c r="C177" s="26" t="n"/>
      <c r="D177" s="26" t="n"/>
      <c r="E177" s="27" t="n"/>
      <c r="F177" s="28" t="n"/>
      <c r="G177" s="29">
        <f>IF(OR(C177="",D177=""),"",IF(C177="Buy",-(D177*E177+F177),D177*E177-F177))</f>
        <v/>
      </c>
      <c r="H177" s="30">
        <f>IF(OR(D177="",E177="",D177*E177=0),"",F177/(D177*E177))</f>
        <v/>
      </c>
      <c r="I177" s="26" t="n"/>
      <c r="J177" s="26" t="n"/>
    </row>
    <row r="178">
      <c r="A178" s="25" t="n"/>
      <c r="B178" s="26" t="n"/>
      <c r="C178" s="26" t="n"/>
      <c r="D178" s="26" t="n"/>
      <c r="E178" s="27" t="n"/>
      <c r="F178" s="28" t="n"/>
      <c r="G178" s="29">
        <f>IF(OR(C178="",D178=""),"",IF(C178="Buy",-(D178*E178+F178),D178*E178-F178))</f>
        <v/>
      </c>
      <c r="H178" s="30">
        <f>IF(OR(D178="",E178="",D178*E178=0),"",F178/(D178*E178))</f>
        <v/>
      </c>
      <c r="I178" s="26" t="n"/>
      <c r="J178" s="26" t="n"/>
    </row>
    <row r="179">
      <c r="A179" s="25" t="n"/>
      <c r="B179" s="26" t="n"/>
      <c r="C179" s="26" t="n"/>
      <c r="D179" s="26" t="n"/>
      <c r="E179" s="27" t="n"/>
      <c r="F179" s="28" t="n"/>
      <c r="G179" s="29">
        <f>IF(OR(C179="",D179=""),"",IF(C179="Buy",-(D179*E179+F179),D179*E179-F179))</f>
        <v/>
      </c>
      <c r="H179" s="30">
        <f>IF(OR(D179="",E179="",D179*E179=0),"",F179/(D179*E179))</f>
        <v/>
      </c>
      <c r="I179" s="26" t="n"/>
      <c r="J179" s="26" t="n"/>
    </row>
    <row r="180">
      <c r="A180" s="25" t="n"/>
      <c r="B180" s="26" t="n"/>
      <c r="C180" s="26" t="n"/>
      <c r="D180" s="26" t="n"/>
      <c r="E180" s="27" t="n"/>
      <c r="F180" s="28" t="n"/>
      <c r="G180" s="29">
        <f>IF(OR(C180="",D180=""),"",IF(C180="Buy",-(D180*E180+F180),D180*E180-F180))</f>
        <v/>
      </c>
      <c r="H180" s="30">
        <f>IF(OR(D180="",E180="",D180*E180=0),"",F180/(D180*E180))</f>
        <v/>
      </c>
      <c r="I180" s="26" t="n"/>
      <c r="J180" s="26" t="n"/>
    </row>
    <row r="181">
      <c r="A181" s="25" t="n"/>
      <c r="B181" s="26" t="n"/>
      <c r="C181" s="26" t="n"/>
      <c r="D181" s="26" t="n"/>
      <c r="E181" s="27" t="n"/>
      <c r="F181" s="28" t="n"/>
      <c r="G181" s="29">
        <f>IF(OR(C181="",D181=""),"",IF(C181="Buy",-(D181*E181+F181),D181*E181-F181))</f>
        <v/>
      </c>
      <c r="H181" s="30">
        <f>IF(OR(D181="",E181="",D181*E181=0),"",F181/(D181*E181))</f>
        <v/>
      </c>
      <c r="I181" s="26" t="n"/>
      <c r="J181" s="26" t="n"/>
    </row>
    <row r="182">
      <c r="A182" s="25" t="n"/>
      <c r="B182" s="26" t="n"/>
      <c r="C182" s="26" t="n"/>
      <c r="D182" s="26" t="n"/>
      <c r="E182" s="27" t="n"/>
      <c r="F182" s="28" t="n"/>
      <c r="G182" s="29">
        <f>IF(OR(C182="",D182=""),"",IF(C182="Buy",-(D182*E182+F182),D182*E182-F182))</f>
        <v/>
      </c>
      <c r="H182" s="30">
        <f>IF(OR(D182="",E182="",D182*E182=0),"",F182/(D182*E182))</f>
        <v/>
      </c>
      <c r="I182" s="26" t="n"/>
      <c r="J182" s="26" t="n"/>
    </row>
    <row r="183">
      <c r="A183" s="25" t="n"/>
      <c r="B183" s="26" t="n"/>
      <c r="C183" s="26" t="n"/>
      <c r="D183" s="26" t="n"/>
      <c r="E183" s="27" t="n"/>
      <c r="F183" s="28" t="n"/>
      <c r="G183" s="29">
        <f>IF(OR(C183="",D183=""),"",IF(C183="Buy",-(D183*E183+F183),D183*E183-F183))</f>
        <v/>
      </c>
      <c r="H183" s="30">
        <f>IF(OR(D183="",E183="",D183*E183=0),"",F183/(D183*E183))</f>
        <v/>
      </c>
      <c r="I183" s="26" t="n"/>
      <c r="J183" s="26" t="n"/>
    </row>
    <row r="184">
      <c r="A184" s="25" t="n"/>
      <c r="B184" s="26" t="n"/>
      <c r="C184" s="26" t="n"/>
      <c r="D184" s="26" t="n"/>
      <c r="E184" s="27" t="n"/>
      <c r="F184" s="28" t="n"/>
      <c r="G184" s="29">
        <f>IF(OR(C184="",D184=""),"",IF(C184="Buy",-(D184*E184+F184),D184*E184-F184))</f>
        <v/>
      </c>
      <c r="H184" s="30">
        <f>IF(OR(D184="",E184="",D184*E184=0),"",F184/(D184*E184))</f>
        <v/>
      </c>
      <c r="I184" s="26" t="n"/>
      <c r="J184" s="26" t="n"/>
    </row>
    <row r="185">
      <c r="A185" s="25" t="n"/>
      <c r="B185" s="26" t="n"/>
      <c r="C185" s="26" t="n"/>
      <c r="D185" s="26" t="n"/>
      <c r="E185" s="27" t="n"/>
      <c r="F185" s="28" t="n"/>
      <c r="G185" s="29">
        <f>IF(OR(C185="",D185=""),"",IF(C185="Buy",-(D185*E185+F185),D185*E185-F185))</f>
        <v/>
      </c>
      <c r="H185" s="30">
        <f>IF(OR(D185="",E185="",D185*E185=0),"",F185/(D185*E185))</f>
        <v/>
      </c>
      <c r="I185" s="26" t="n"/>
      <c r="J185" s="26" t="n"/>
    </row>
    <row r="186">
      <c r="A186" s="25" t="n"/>
      <c r="B186" s="26" t="n"/>
      <c r="C186" s="26" t="n"/>
      <c r="D186" s="26" t="n"/>
      <c r="E186" s="27" t="n"/>
      <c r="F186" s="28" t="n"/>
      <c r="G186" s="29">
        <f>IF(OR(C186="",D186=""),"",IF(C186="Buy",-(D186*E186+F186),D186*E186-F186))</f>
        <v/>
      </c>
      <c r="H186" s="30">
        <f>IF(OR(D186="",E186="",D186*E186=0),"",F186/(D186*E186))</f>
        <v/>
      </c>
      <c r="I186" s="26" t="n"/>
      <c r="J186" s="26" t="n"/>
    </row>
    <row r="187">
      <c r="A187" s="25" t="n"/>
      <c r="B187" s="26" t="n"/>
      <c r="C187" s="26" t="n"/>
      <c r="D187" s="26" t="n"/>
      <c r="E187" s="27" t="n"/>
      <c r="F187" s="28" t="n"/>
      <c r="G187" s="29">
        <f>IF(OR(C187="",D187=""),"",IF(C187="Buy",-(D187*E187+F187),D187*E187-F187))</f>
        <v/>
      </c>
      <c r="H187" s="30">
        <f>IF(OR(D187="",E187="",D187*E187=0),"",F187/(D187*E187))</f>
        <v/>
      </c>
      <c r="I187" s="26" t="n"/>
      <c r="J187" s="26" t="n"/>
    </row>
    <row r="188">
      <c r="A188" s="25" t="n"/>
      <c r="B188" s="26" t="n"/>
      <c r="C188" s="26" t="n"/>
      <c r="D188" s="26" t="n"/>
      <c r="E188" s="27" t="n"/>
      <c r="F188" s="28" t="n"/>
      <c r="G188" s="29">
        <f>IF(OR(C188="",D188=""),"",IF(C188="Buy",-(D188*E188+F188),D188*E188-F188))</f>
        <v/>
      </c>
      <c r="H188" s="30">
        <f>IF(OR(D188="",E188="",D188*E188=0),"",F188/(D188*E188))</f>
        <v/>
      </c>
      <c r="I188" s="26" t="n"/>
      <c r="J188" s="26" t="n"/>
    </row>
    <row r="189">
      <c r="A189" s="25" t="n"/>
      <c r="B189" s="26" t="n"/>
      <c r="C189" s="26" t="n"/>
      <c r="D189" s="26" t="n"/>
      <c r="E189" s="27" t="n"/>
      <c r="F189" s="28" t="n"/>
      <c r="G189" s="29">
        <f>IF(OR(C189="",D189=""),"",IF(C189="Buy",-(D189*E189+F189),D189*E189-F189))</f>
        <v/>
      </c>
      <c r="H189" s="30">
        <f>IF(OR(D189="",E189="",D189*E189=0),"",F189/(D189*E189))</f>
        <v/>
      </c>
      <c r="I189" s="26" t="n"/>
      <c r="J189" s="26" t="n"/>
    </row>
    <row r="190">
      <c r="A190" s="25" t="n"/>
      <c r="B190" s="26" t="n"/>
      <c r="C190" s="26" t="n"/>
      <c r="D190" s="26" t="n"/>
      <c r="E190" s="27" t="n"/>
      <c r="F190" s="28" t="n"/>
      <c r="G190" s="29">
        <f>IF(OR(C190="",D190=""),"",IF(C190="Buy",-(D190*E190+F190),D190*E190-F190))</f>
        <v/>
      </c>
      <c r="H190" s="30">
        <f>IF(OR(D190="",E190="",D190*E190=0),"",F190/(D190*E190))</f>
        <v/>
      </c>
      <c r="I190" s="26" t="n"/>
      <c r="J190" s="26" t="n"/>
    </row>
    <row r="191">
      <c r="A191" s="25" t="n"/>
      <c r="B191" s="26" t="n"/>
      <c r="C191" s="26" t="n"/>
      <c r="D191" s="26" t="n"/>
      <c r="E191" s="27" t="n"/>
      <c r="F191" s="28" t="n"/>
      <c r="G191" s="29">
        <f>IF(OR(C191="",D191=""),"",IF(C191="Buy",-(D191*E191+F191),D191*E191-F191))</f>
        <v/>
      </c>
      <c r="H191" s="30">
        <f>IF(OR(D191="",E191="",D191*E191=0),"",F191/(D191*E191))</f>
        <v/>
      </c>
      <c r="I191" s="26" t="n"/>
      <c r="J191" s="26" t="n"/>
    </row>
    <row r="192">
      <c r="A192" s="25" t="n"/>
      <c r="B192" s="26" t="n"/>
      <c r="C192" s="26" t="n"/>
      <c r="D192" s="26" t="n"/>
      <c r="E192" s="27" t="n"/>
      <c r="F192" s="28" t="n"/>
      <c r="G192" s="29">
        <f>IF(OR(C192="",D192=""),"",IF(C192="Buy",-(D192*E192+F192),D192*E192-F192))</f>
        <v/>
      </c>
      <c r="H192" s="30">
        <f>IF(OR(D192="",E192="",D192*E192=0),"",F192/(D192*E192))</f>
        <v/>
      </c>
      <c r="I192" s="26" t="n"/>
      <c r="J192" s="26" t="n"/>
    </row>
    <row r="193">
      <c r="A193" s="25" t="n"/>
      <c r="B193" s="26" t="n"/>
      <c r="C193" s="26" t="n"/>
      <c r="D193" s="26" t="n"/>
      <c r="E193" s="27" t="n"/>
      <c r="F193" s="28" t="n"/>
      <c r="G193" s="29">
        <f>IF(OR(C193="",D193=""),"",IF(C193="Buy",-(D193*E193+F193),D193*E193-F193))</f>
        <v/>
      </c>
      <c r="H193" s="30">
        <f>IF(OR(D193="",E193="",D193*E193=0),"",F193/(D193*E193))</f>
        <v/>
      </c>
      <c r="I193" s="26" t="n"/>
      <c r="J193" s="26" t="n"/>
    </row>
    <row r="194">
      <c r="A194" s="25" t="n"/>
      <c r="B194" s="26" t="n"/>
      <c r="C194" s="26" t="n"/>
      <c r="D194" s="26" t="n"/>
      <c r="E194" s="27" t="n"/>
      <c r="F194" s="28" t="n"/>
      <c r="G194" s="29">
        <f>IF(OR(C194="",D194=""),"",IF(C194="Buy",-(D194*E194+F194),D194*E194-F194))</f>
        <v/>
      </c>
      <c r="H194" s="30">
        <f>IF(OR(D194="",E194="",D194*E194=0),"",F194/(D194*E194))</f>
        <v/>
      </c>
      <c r="I194" s="26" t="n"/>
      <c r="J194" s="26" t="n"/>
    </row>
    <row r="195">
      <c r="A195" s="25" t="n"/>
      <c r="B195" s="26" t="n"/>
      <c r="C195" s="26" t="n"/>
      <c r="D195" s="26" t="n"/>
      <c r="E195" s="27" t="n"/>
      <c r="F195" s="28" t="n"/>
      <c r="G195" s="29">
        <f>IF(OR(C195="",D195=""),"",IF(C195="Buy",-(D195*E195+F195),D195*E195-F195))</f>
        <v/>
      </c>
      <c r="H195" s="30">
        <f>IF(OR(D195="",E195="",D195*E195=0),"",F195/(D195*E195))</f>
        <v/>
      </c>
      <c r="I195" s="26" t="n"/>
      <c r="J195" s="26" t="n"/>
    </row>
    <row r="196">
      <c r="A196" s="25" t="n"/>
      <c r="B196" s="26" t="n"/>
      <c r="C196" s="26" t="n"/>
      <c r="D196" s="26" t="n"/>
      <c r="E196" s="27" t="n"/>
      <c r="F196" s="28" t="n"/>
      <c r="G196" s="29">
        <f>IF(OR(C196="",D196=""),"",IF(C196="Buy",-(D196*E196+F196),D196*E196-F196))</f>
        <v/>
      </c>
      <c r="H196" s="30">
        <f>IF(OR(D196="",E196="",D196*E196=0),"",F196/(D196*E196))</f>
        <v/>
      </c>
      <c r="I196" s="26" t="n"/>
      <c r="J196" s="26" t="n"/>
    </row>
    <row r="197">
      <c r="A197" s="25" t="n"/>
      <c r="B197" s="26" t="n"/>
      <c r="C197" s="26" t="n"/>
      <c r="D197" s="26" t="n"/>
      <c r="E197" s="27" t="n"/>
      <c r="F197" s="28" t="n"/>
      <c r="G197" s="29">
        <f>IF(OR(C197="",D197=""),"",IF(C197="Buy",-(D197*E197+F197),D197*E197-F197))</f>
        <v/>
      </c>
      <c r="H197" s="30">
        <f>IF(OR(D197="",E197="",D197*E197=0),"",F197/(D197*E197))</f>
        <v/>
      </c>
      <c r="I197" s="26" t="n"/>
      <c r="J197" s="26" t="n"/>
    </row>
    <row r="198">
      <c r="A198" s="25" t="n"/>
      <c r="B198" s="26" t="n"/>
      <c r="C198" s="26" t="n"/>
      <c r="D198" s="26" t="n"/>
      <c r="E198" s="27" t="n"/>
      <c r="F198" s="28" t="n"/>
      <c r="G198" s="29">
        <f>IF(OR(C198="",D198=""),"",IF(C198="Buy",-(D198*E198+F198),D198*E198-F198))</f>
        <v/>
      </c>
      <c r="H198" s="30">
        <f>IF(OR(D198="",E198="",D198*E198=0),"",F198/(D198*E198))</f>
        <v/>
      </c>
      <c r="I198" s="26" t="n"/>
      <c r="J198" s="26" t="n"/>
    </row>
    <row r="199">
      <c r="A199" s="25" t="n"/>
      <c r="B199" s="26" t="n"/>
      <c r="C199" s="26" t="n"/>
      <c r="D199" s="26" t="n"/>
      <c r="E199" s="27" t="n"/>
      <c r="F199" s="28" t="n"/>
      <c r="G199" s="29">
        <f>IF(OR(C199="",D199=""),"",IF(C199="Buy",-(D199*E199+F199),D199*E199-F199))</f>
        <v/>
      </c>
      <c r="H199" s="30">
        <f>IF(OR(D199="",E199="",D199*E199=0),"",F199/(D199*E199))</f>
        <v/>
      </c>
      <c r="I199" s="26" t="n"/>
      <c r="J199" s="26" t="n"/>
    </row>
    <row r="200">
      <c r="A200" s="25" t="n"/>
      <c r="B200" s="26" t="n"/>
      <c r="C200" s="26" t="n"/>
      <c r="D200" s="26" t="n"/>
      <c r="E200" s="27" t="n"/>
      <c r="F200" s="28" t="n"/>
      <c r="G200" s="29">
        <f>IF(OR(C200="",D200=""),"",IF(C200="Buy",-(D200*E200+F200),D200*E200-F200))</f>
        <v/>
      </c>
      <c r="H200" s="30">
        <f>IF(OR(D200="",E200="",D200*E200=0),"",F200/(D200*E200))</f>
        <v/>
      </c>
      <c r="I200" s="26" t="n"/>
      <c r="J200" s="26" t="n"/>
    </row>
    <row r="201">
      <c r="A201" s="25" t="n"/>
      <c r="B201" s="26" t="n"/>
      <c r="C201" s="26" t="n"/>
      <c r="D201" s="26" t="n"/>
      <c r="E201" s="27" t="n"/>
      <c r="F201" s="28" t="n"/>
      <c r="G201" s="29">
        <f>IF(OR(C201="",D201=""),"",IF(C201="Buy",-(D201*E201+F201),D201*E201-F201))</f>
        <v/>
      </c>
      <c r="H201" s="30">
        <f>IF(OR(D201="",E201="",D201*E201=0),"",F201/(D201*E201))</f>
        <v/>
      </c>
      <c r="I201" s="26" t="n"/>
      <c r="J201" s="26" t="n"/>
    </row>
    <row r="202">
      <c r="A202" s="25" t="n"/>
      <c r="B202" s="26" t="n"/>
      <c r="C202" s="26" t="n"/>
      <c r="D202" s="26" t="n"/>
      <c r="E202" s="27" t="n"/>
      <c r="F202" s="28" t="n"/>
      <c r="G202" s="29">
        <f>IF(OR(C202="",D202=""),"",IF(C202="Buy",-(D202*E202+F202),D202*E202-F202))</f>
        <v/>
      </c>
      <c r="H202" s="30">
        <f>IF(OR(D202="",E202="",D202*E202=0),"",F202/(D202*E202))</f>
        <v/>
      </c>
      <c r="I202" s="26" t="n"/>
      <c r="J202" s="26" t="n"/>
    </row>
    <row r="203">
      <c r="A203" s="25" t="n"/>
      <c r="B203" s="26" t="n"/>
      <c r="C203" s="26" t="n"/>
      <c r="D203" s="26" t="n"/>
      <c r="E203" s="27" t="n"/>
      <c r="F203" s="28" t="n"/>
      <c r="G203" s="29">
        <f>IF(OR(C203="",D203=""),"",IF(C203="Buy",-(D203*E203+F203),D203*E203-F203))</f>
        <v/>
      </c>
      <c r="H203" s="30">
        <f>IF(OR(D203="",E203="",D203*E203=0),"",F203/(D203*E203))</f>
        <v/>
      </c>
      <c r="I203" s="26" t="n"/>
      <c r="J203" s="26" t="n"/>
    </row>
    <row r="204">
      <c r="A204" s="25" t="n"/>
      <c r="B204" s="26" t="n"/>
      <c r="C204" s="26" t="n"/>
      <c r="D204" s="26" t="n"/>
      <c r="E204" s="27" t="n"/>
      <c r="F204" s="28" t="n"/>
      <c r="G204" s="29">
        <f>IF(OR(C204="",D204=""),"",IF(C204="Buy",-(D204*E204+F204),D204*E204-F204))</f>
        <v/>
      </c>
      <c r="H204" s="30">
        <f>IF(OR(D204="",E204="",D204*E204=0),"",F204/(D204*E204))</f>
        <v/>
      </c>
      <c r="I204" s="26" t="n"/>
      <c r="J204" s="26" t="n"/>
    </row>
    <row r="205">
      <c r="A205" s="25" t="n"/>
      <c r="B205" s="26" t="n"/>
      <c r="C205" s="26" t="n"/>
      <c r="D205" s="26" t="n"/>
      <c r="E205" s="27" t="n"/>
      <c r="F205" s="28" t="n"/>
      <c r="G205" s="29">
        <f>IF(OR(C205="",D205=""),"",IF(C205="Buy",-(D205*E205+F205),D205*E205-F205))</f>
        <v/>
      </c>
      <c r="H205" s="30">
        <f>IF(OR(D205="",E205="",D205*E205=0),"",F205/(D205*E205))</f>
        <v/>
      </c>
      <c r="I205" s="26" t="n"/>
      <c r="J205" s="26" t="n"/>
    </row>
    <row r="206">
      <c r="A206" s="25" t="n"/>
      <c r="B206" s="26" t="n"/>
      <c r="C206" s="26" t="n"/>
      <c r="D206" s="26" t="n"/>
      <c r="E206" s="27" t="n"/>
      <c r="F206" s="28" t="n"/>
      <c r="G206" s="29">
        <f>IF(OR(C206="",D206=""),"",IF(C206="Buy",-(D206*E206+F206),D206*E206-F206))</f>
        <v/>
      </c>
      <c r="H206" s="30">
        <f>IF(OR(D206="",E206="",D206*E206=0),"",F206/(D206*E206))</f>
        <v/>
      </c>
      <c r="I206" s="26" t="n"/>
      <c r="J206" s="26" t="n"/>
    </row>
    <row r="207">
      <c r="A207" s="25" t="n"/>
      <c r="B207" s="26" t="n"/>
      <c r="C207" s="26" t="n"/>
      <c r="D207" s="26" t="n"/>
      <c r="E207" s="27" t="n"/>
      <c r="F207" s="28" t="n"/>
      <c r="G207" s="29">
        <f>IF(OR(C207="",D207=""),"",IF(C207="Buy",-(D207*E207+F207),D207*E207-F207))</f>
        <v/>
      </c>
      <c r="H207" s="30">
        <f>IF(OR(D207="",E207="",D207*E207=0),"",F207/(D207*E207))</f>
        <v/>
      </c>
      <c r="I207" s="26" t="n"/>
      <c r="J207" s="26" t="n"/>
    </row>
    <row r="208">
      <c r="A208" s="25" t="n"/>
      <c r="B208" s="26" t="n"/>
      <c r="C208" s="26" t="n"/>
      <c r="D208" s="26" t="n"/>
      <c r="E208" s="27" t="n"/>
      <c r="F208" s="28" t="n"/>
      <c r="G208" s="29">
        <f>IF(OR(C208="",D208=""),"",IF(C208="Buy",-(D208*E208+F208),D208*E208-F208))</f>
        <v/>
      </c>
      <c r="H208" s="30">
        <f>IF(OR(D208="",E208="",D208*E208=0),"",F208/(D208*E208))</f>
        <v/>
      </c>
      <c r="I208" s="26" t="n"/>
      <c r="J208" s="26" t="n"/>
    </row>
    <row r="209">
      <c r="A209" s="25" t="n"/>
      <c r="B209" s="26" t="n"/>
      <c r="C209" s="26" t="n"/>
      <c r="D209" s="26" t="n"/>
      <c r="E209" s="27" t="n"/>
      <c r="F209" s="28" t="n"/>
      <c r="G209" s="29">
        <f>IF(OR(C209="",D209=""),"",IF(C209="Buy",-(D209*E209+F209),D209*E209-F209))</f>
        <v/>
      </c>
      <c r="H209" s="30">
        <f>IF(OR(D209="",E209="",D209*E209=0),"",F209/(D209*E209))</f>
        <v/>
      </c>
      <c r="I209" s="26" t="n"/>
      <c r="J209" s="26" t="n"/>
    </row>
    <row r="210">
      <c r="A210" s="25" t="n"/>
      <c r="B210" s="26" t="n"/>
      <c r="C210" s="26" t="n"/>
      <c r="D210" s="26" t="n"/>
      <c r="E210" s="27" t="n"/>
      <c r="F210" s="28" t="n"/>
      <c r="G210" s="29">
        <f>IF(OR(C210="",D210=""),"",IF(C210="Buy",-(D210*E210+F210),D210*E210-F210))</f>
        <v/>
      </c>
      <c r="H210" s="30">
        <f>IF(OR(D210="",E210="",D210*E210=0),"",F210/(D210*E210))</f>
        <v/>
      </c>
      <c r="I210" s="26" t="n"/>
      <c r="J210" s="26" t="n"/>
    </row>
    <row r="211">
      <c r="A211" s="25" t="n"/>
      <c r="B211" s="26" t="n"/>
      <c r="C211" s="26" t="n"/>
      <c r="D211" s="26" t="n"/>
      <c r="E211" s="27" t="n"/>
      <c r="F211" s="28" t="n"/>
      <c r="G211" s="29">
        <f>IF(OR(C211="",D211=""),"",IF(C211="Buy",-(D211*E211+F211),D211*E211-F211))</f>
        <v/>
      </c>
      <c r="H211" s="30">
        <f>IF(OR(D211="",E211="",D211*E211=0),"",F211/(D211*E211))</f>
        <v/>
      </c>
      <c r="I211" s="26" t="n"/>
      <c r="J211" s="26" t="n"/>
    </row>
    <row r="212">
      <c r="A212" s="25" t="n"/>
      <c r="B212" s="26" t="n"/>
      <c r="C212" s="26" t="n"/>
      <c r="D212" s="26" t="n"/>
      <c r="E212" s="27" t="n"/>
      <c r="F212" s="28" t="n"/>
      <c r="G212" s="29">
        <f>IF(OR(C212="",D212=""),"",IF(C212="Buy",-(D212*E212+F212),D212*E212-F212))</f>
        <v/>
      </c>
      <c r="H212" s="30">
        <f>IF(OR(D212="",E212="",D212*E212=0),"",F212/(D212*E212))</f>
        <v/>
      </c>
      <c r="I212" s="26" t="n"/>
      <c r="J212" s="26" t="n"/>
    </row>
    <row r="213">
      <c r="A213" s="25" t="n"/>
      <c r="B213" s="26" t="n"/>
      <c r="C213" s="26" t="n"/>
      <c r="D213" s="26" t="n"/>
      <c r="E213" s="27" t="n"/>
      <c r="F213" s="28" t="n"/>
      <c r="G213" s="29">
        <f>IF(OR(C213="",D213=""),"",IF(C213="Buy",-(D213*E213+F213),D213*E213-F213))</f>
        <v/>
      </c>
      <c r="H213" s="30">
        <f>IF(OR(D213="",E213="",D213*E213=0),"",F213/(D213*E213))</f>
        <v/>
      </c>
      <c r="I213" s="26" t="n"/>
      <c r="J213" s="26" t="n"/>
    </row>
    <row r="214">
      <c r="A214" s="25" t="n"/>
      <c r="B214" s="26" t="n"/>
      <c r="C214" s="26" t="n"/>
      <c r="D214" s="26" t="n"/>
      <c r="E214" s="27" t="n"/>
      <c r="F214" s="28" t="n"/>
      <c r="G214" s="29">
        <f>IF(OR(C214="",D214=""),"",IF(C214="Buy",-(D214*E214+F214),D214*E214-F214))</f>
        <v/>
      </c>
      <c r="H214" s="30">
        <f>IF(OR(D214="",E214="",D214*E214=0),"",F214/(D214*E214))</f>
        <v/>
      </c>
      <c r="I214" s="26" t="n"/>
      <c r="J214" s="26" t="n"/>
    </row>
    <row r="215">
      <c r="A215" s="25" t="n"/>
      <c r="B215" s="26" t="n"/>
      <c r="C215" s="26" t="n"/>
      <c r="D215" s="26" t="n"/>
      <c r="E215" s="27" t="n"/>
      <c r="F215" s="28" t="n"/>
      <c r="G215" s="29">
        <f>IF(OR(C215="",D215=""),"",IF(C215="Buy",-(D215*E215+F215),D215*E215-F215))</f>
        <v/>
      </c>
      <c r="H215" s="30">
        <f>IF(OR(D215="",E215="",D215*E215=0),"",F215/(D215*E215))</f>
        <v/>
      </c>
      <c r="I215" s="26" t="n"/>
      <c r="J215" s="26" t="n"/>
    </row>
    <row r="216">
      <c r="A216" s="25" t="n"/>
      <c r="B216" s="26" t="n"/>
      <c r="C216" s="26" t="n"/>
      <c r="D216" s="26" t="n"/>
      <c r="E216" s="27" t="n"/>
      <c r="F216" s="28" t="n"/>
      <c r="G216" s="29">
        <f>IF(OR(C216="",D216=""),"",IF(C216="Buy",-(D216*E216+F216),D216*E216-F216))</f>
        <v/>
      </c>
      <c r="H216" s="30">
        <f>IF(OR(D216="",E216="",D216*E216=0),"",F216/(D216*E216))</f>
        <v/>
      </c>
      <c r="I216" s="26" t="n"/>
      <c r="J216" s="26" t="n"/>
    </row>
    <row r="217">
      <c r="A217" s="25" t="n"/>
      <c r="B217" s="26" t="n"/>
      <c r="C217" s="26" t="n"/>
      <c r="D217" s="26" t="n"/>
      <c r="E217" s="27" t="n"/>
      <c r="F217" s="28" t="n"/>
      <c r="G217" s="29">
        <f>IF(OR(C217="",D217=""),"",IF(C217="Buy",-(D217*E217+F217),D217*E217-F217))</f>
        <v/>
      </c>
      <c r="H217" s="30">
        <f>IF(OR(D217="",E217="",D217*E217=0),"",F217/(D217*E217))</f>
        <v/>
      </c>
      <c r="I217" s="26" t="n"/>
      <c r="J217" s="26" t="n"/>
    </row>
    <row r="218">
      <c r="A218" s="25" t="n"/>
      <c r="B218" s="26" t="n"/>
      <c r="C218" s="26" t="n"/>
      <c r="D218" s="26" t="n"/>
      <c r="E218" s="27" t="n"/>
      <c r="F218" s="28" t="n"/>
      <c r="G218" s="29">
        <f>IF(OR(C218="",D218=""),"",IF(C218="Buy",-(D218*E218+F218),D218*E218-F218))</f>
        <v/>
      </c>
      <c r="H218" s="30">
        <f>IF(OR(D218="",E218="",D218*E218=0),"",F218/(D218*E218))</f>
        <v/>
      </c>
      <c r="I218" s="26" t="n"/>
      <c r="J218" s="26" t="n"/>
    </row>
    <row r="219">
      <c r="A219" s="25" t="n"/>
      <c r="B219" s="26" t="n"/>
      <c r="C219" s="26" t="n"/>
      <c r="D219" s="26" t="n"/>
      <c r="E219" s="27" t="n"/>
      <c r="F219" s="28" t="n"/>
      <c r="G219" s="29">
        <f>IF(OR(C219="",D219=""),"",IF(C219="Buy",-(D219*E219+F219),D219*E219-F219))</f>
        <v/>
      </c>
      <c r="H219" s="30">
        <f>IF(OR(D219="",E219="",D219*E219=0),"",F219/(D219*E219))</f>
        <v/>
      </c>
      <c r="I219" s="26" t="n"/>
      <c r="J219" s="26" t="n"/>
    </row>
    <row r="220">
      <c r="A220" s="25" t="n"/>
      <c r="B220" s="26" t="n"/>
      <c r="C220" s="26" t="n"/>
      <c r="D220" s="26" t="n"/>
      <c r="E220" s="27" t="n"/>
      <c r="F220" s="28" t="n"/>
      <c r="G220" s="29">
        <f>IF(OR(C220="",D220=""),"",IF(C220="Buy",-(D220*E220+F220),D220*E220-F220))</f>
        <v/>
      </c>
      <c r="H220" s="30">
        <f>IF(OR(D220="",E220="",D220*E220=0),"",F220/(D220*E220))</f>
        <v/>
      </c>
      <c r="I220" s="26" t="n"/>
      <c r="J220" s="26" t="n"/>
    </row>
    <row r="221">
      <c r="A221" s="25" t="n"/>
      <c r="B221" s="26" t="n"/>
      <c r="C221" s="26" t="n"/>
      <c r="D221" s="26" t="n"/>
      <c r="E221" s="27" t="n"/>
      <c r="F221" s="28" t="n"/>
      <c r="G221" s="29">
        <f>IF(OR(C221="",D221=""),"",IF(C221="Buy",-(D221*E221+F221),D221*E221-F221))</f>
        <v/>
      </c>
      <c r="H221" s="30">
        <f>IF(OR(D221="",E221="",D221*E221=0),"",F221/(D221*E221))</f>
        <v/>
      </c>
      <c r="I221" s="26" t="n"/>
      <c r="J221" s="26" t="n"/>
    </row>
    <row r="222">
      <c r="A222" s="25" t="n"/>
      <c r="B222" s="26" t="n"/>
      <c r="C222" s="26" t="n"/>
      <c r="D222" s="26" t="n"/>
      <c r="E222" s="27" t="n"/>
      <c r="F222" s="28" t="n"/>
      <c r="G222" s="29">
        <f>IF(OR(C222="",D222=""),"",IF(C222="Buy",-(D222*E222+F222),D222*E222-F222))</f>
        <v/>
      </c>
      <c r="H222" s="30">
        <f>IF(OR(D222="",E222="",D222*E222=0),"",F222/(D222*E222))</f>
        <v/>
      </c>
      <c r="I222" s="26" t="n"/>
      <c r="J222" s="26" t="n"/>
    </row>
    <row r="223">
      <c r="A223" s="25" t="n"/>
      <c r="B223" s="26" t="n"/>
      <c r="C223" s="26" t="n"/>
      <c r="D223" s="26" t="n"/>
      <c r="E223" s="27" t="n"/>
      <c r="F223" s="28" t="n"/>
      <c r="G223" s="29">
        <f>IF(OR(C223="",D223=""),"",IF(C223="Buy",-(D223*E223+F223),D223*E223-F223))</f>
        <v/>
      </c>
      <c r="H223" s="30">
        <f>IF(OR(D223="",E223="",D223*E223=0),"",F223/(D223*E223))</f>
        <v/>
      </c>
      <c r="I223" s="26" t="n"/>
      <c r="J223" s="26" t="n"/>
    </row>
    <row r="224">
      <c r="A224" s="25" t="n"/>
      <c r="B224" s="26" t="n"/>
      <c r="C224" s="26" t="n"/>
      <c r="D224" s="26" t="n"/>
      <c r="E224" s="27" t="n"/>
      <c r="F224" s="28" t="n"/>
      <c r="G224" s="29">
        <f>IF(OR(C224="",D224=""),"",IF(C224="Buy",-(D224*E224+F224),D224*E224-F224))</f>
        <v/>
      </c>
      <c r="H224" s="30">
        <f>IF(OR(D224="",E224="",D224*E224=0),"",F224/(D224*E224))</f>
        <v/>
      </c>
      <c r="I224" s="26" t="n"/>
      <c r="J224" s="26" t="n"/>
    </row>
    <row r="225">
      <c r="A225" s="25" t="n"/>
      <c r="B225" s="26" t="n"/>
      <c r="C225" s="26" t="n"/>
      <c r="D225" s="26" t="n"/>
      <c r="E225" s="27" t="n"/>
      <c r="F225" s="28" t="n"/>
      <c r="G225" s="29">
        <f>IF(OR(C225="",D225=""),"",IF(C225="Buy",-(D225*E225+F225),D225*E225-F225))</f>
        <v/>
      </c>
      <c r="H225" s="30">
        <f>IF(OR(D225="",E225="",D225*E225=0),"",F225/(D225*E225))</f>
        <v/>
      </c>
      <c r="I225" s="26" t="n"/>
      <c r="J225" s="26" t="n"/>
    </row>
    <row r="226">
      <c r="A226" s="25" t="n"/>
      <c r="B226" s="26" t="n"/>
      <c r="C226" s="26" t="n"/>
      <c r="D226" s="26" t="n"/>
      <c r="E226" s="27" t="n"/>
      <c r="F226" s="28" t="n"/>
      <c r="G226" s="29">
        <f>IF(OR(C226="",D226=""),"",IF(C226="Buy",-(D226*E226+F226),D226*E226-F226))</f>
        <v/>
      </c>
      <c r="H226" s="30">
        <f>IF(OR(D226="",E226="",D226*E226=0),"",F226/(D226*E226))</f>
        <v/>
      </c>
      <c r="I226" s="26" t="n"/>
      <c r="J226" s="26" t="n"/>
    </row>
    <row r="227">
      <c r="A227" s="25" t="n"/>
      <c r="B227" s="26" t="n"/>
      <c r="C227" s="26" t="n"/>
      <c r="D227" s="26" t="n"/>
      <c r="E227" s="27" t="n"/>
      <c r="F227" s="28" t="n"/>
      <c r="G227" s="29">
        <f>IF(OR(C227="",D227=""),"",IF(C227="Buy",-(D227*E227+F227),D227*E227-F227))</f>
        <v/>
      </c>
      <c r="H227" s="30">
        <f>IF(OR(D227="",E227="",D227*E227=0),"",F227/(D227*E227))</f>
        <v/>
      </c>
      <c r="I227" s="26" t="n"/>
      <c r="J227" s="26" t="n"/>
    </row>
    <row r="228">
      <c r="A228" s="25" t="n"/>
      <c r="B228" s="26" t="n"/>
      <c r="C228" s="26" t="n"/>
      <c r="D228" s="26" t="n"/>
      <c r="E228" s="27" t="n"/>
      <c r="F228" s="28" t="n"/>
      <c r="G228" s="29">
        <f>IF(OR(C228="",D228=""),"",IF(C228="Buy",-(D228*E228+F228),D228*E228-F228))</f>
        <v/>
      </c>
      <c r="H228" s="30">
        <f>IF(OR(D228="",E228="",D228*E228=0),"",F228/(D228*E228))</f>
        <v/>
      </c>
      <c r="I228" s="26" t="n"/>
      <c r="J228" s="26" t="n"/>
    </row>
    <row r="229">
      <c r="A229" s="25" t="n"/>
      <c r="B229" s="26" t="n"/>
      <c r="C229" s="26" t="n"/>
      <c r="D229" s="26" t="n"/>
      <c r="E229" s="27" t="n"/>
      <c r="F229" s="28" t="n"/>
      <c r="G229" s="29">
        <f>IF(OR(C229="",D229=""),"",IF(C229="Buy",-(D229*E229+F229),D229*E229-F229))</f>
        <v/>
      </c>
      <c r="H229" s="30">
        <f>IF(OR(D229="",E229="",D229*E229=0),"",F229/(D229*E229))</f>
        <v/>
      </c>
      <c r="I229" s="26" t="n"/>
      <c r="J229" s="26" t="n"/>
    </row>
    <row r="230">
      <c r="A230" s="25" t="n"/>
      <c r="B230" s="26" t="n"/>
      <c r="C230" s="26" t="n"/>
      <c r="D230" s="26" t="n"/>
      <c r="E230" s="27" t="n"/>
      <c r="F230" s="28" t="n"/>
      <c r="G230" s="29">
        <f>IF(OR(C230="",D230=""),"",IF(C230="Buy",-(D230*E230+F230),D230*E230-F230))</f>
        <v/>
      </c>
      <c r="H230" s="30">
        <f>IF(OR(D230="",E230="",D230*E230=0),"",F230/(D230*E230))</f>
        <v/>
      </c>
      <c r="I230" s="26" t="n"/>
      <c r="J230" s="26" t="n"/>
    </row>
    <row r="231">
      <c r="A231" s="25" t="n"/>
      <c r="B231" s="26" t="n"/>
      <c r="C231" s="26" t="n"/>
      <c r="D231" s="26" t="n"/>
      <c r="E231" s="27" t="n"/>
      <c r="F231" s="28" t="n"/>
      <c r="G231" s="29">
        <f>IF(OR(C231="",D231=""),"",IF(C231="Buy",-(D231*E231+F231),D231*E231-F231))</f>
        <v/>
      </c>
      <c r="H231" s="30">
        <f>IF(OR(D231="",E231="",D231*E231=0),"",F231/(D231*E231))</f>
        <v/>
      </c>
      <c r="I231" s="26" t="n"/>
      <c r="J231" s="26" t="n"/>
    </row>
    <row r="232">
      <c r="A232" s="25" t="n"/>
      <c r="B232" s="26" t="n"/>
      <c r="C232" s="26" t="n"/>
      <c r="D232" s="26" t="n"/>
      <c r="E232" s="27" t="n"/>
      <c r="F232" s="28" t="n"/>
      <c r="G232" s="29">
        <f>IF(OR(C232="",D232=""),"",IF(C232="Buy",-(D232*E232+F232),D232*E232-F232))</f>
        <v/>
      </c>
      <c r="H232" s="30">
        <f>IF(OR(D232="",E232="",D232*E232=0),"",F232/(D232*E232))</f>
        <v/>
      </c>
      <c r="I232" s="26" t="n"/>
      <c r="J232" s="26" t="n"/>
    </row>
    <row r="233">
      <c r="A233" s="25" t="n"/>
      <c r="B233" s="26" t="n"/>
      <c r="C233" s="26" t="n"/>
      <c r="D233" s="26" t="n"/>
      <c r="E233" s="27" t="n"/>
      <c r="F233" s="28" t="n"/>
      <c r="G233" s="29">
        <f>IF(OR(C233="",D233=""),"",IF(C233="Buy",-(D233*E233+F233),D233*E233-F233))</f>
        <v/>
      </c>
      <c r="H233" s="30">
        <f>IF(OR(D233="",E233="",D233*E233=0),"",F233/(D233*E233))</f>
        <v/>
      </c>
      <c r="I233" s="26" t="n"/>
      <c r="J233" s="26" t="n"/>
    </row>
    <row r="234">
      <c r="A234" s="25" t="n"/>
      <c r="B234" s="26" t="n"/>
      <c r="C234" s="26" t="n"/>
      <c r="D234" s="26" t="n"/>
      <c r="E234" s="27" t="n"/>
      <c r="F234" s="28" t="n"/>
      <c r="G234" s="29">
        <f>IF(OR(C234="",D234=""),"",IF(C234="Buy",-(D234*E234+F234),D234*E234-F234))</f>
        <v/>
      </c>
      <c r="H234" s="30">
        <f>IF(OR(D234="",E234="",D234*E234=0),"",F234/(D234*E234))</f>
        <v/>
      </c>
      <c r="I234" s="26" t="n"/>
      <c r="J234" s="26" t="n"/>
    </row>
    <row r="235">
      <c r="A235" s="25" t="n"/>
      <c r="B235" s="26" t="n"/>
      <c r="C235" s="26" t="n"/>
      <c r="D235" s="26" t="n"/>
      <c r="E235" s="27" t="n"/>
      <c r="F235" s="28" t="n"/>
      <c r="G235" s="29">
        <f>IF(OR(C235="",D235=""),"",IF(C235="Buy",-(D235*E235+F235),D235*E235-F235))</f>
        <v/>
      </c>
      <c r="H235" s="30">
        <f>IF(OR(D235="",E235="",D235*E235=0),"",F235/(D235*E235))</f>
        <v/>
      </c>
      <c r="I235" s="26" t="n"/>
      <c r="J235" s="26" t="n"/>
    </row>
    <row r="236">
      <c r="A236" s="25" t="n"/>
      <c r="B236" s="26" t="n"/>
      <c r="C236" s="26" t="n"/>
      <c r="D236" s="26" t="n"/>
      <c r="E236" s="27" t="n"/>
      <c r="F236" s="28" t="n"/>
      <c r="G236" s="29">
        <f>IF(OR(C236="",D236=""),"",IF(C236="Buy",-(D236*E236+F236),D236*E236-F236))</f>
        <v/>
      </c>
      <c r="H236" s="30">
        <f>IF(OR(D236="",E236="",D236*E236=0),"",F236/(D236*E236))</f>
        <v/>
      </c>
      <c r="I236" s="26" t="n"/>
      <c r="J236" s="26" t="n"/>
    </row>
    <row r="237">
      <c r="A237" s="25" t="n"/>
      <c r="B237" s="26" t="n"/>
      <c r="C237" s="26" t="n"/>
      <c r="D237" s="26" t="n"/>
      <c r="E237" s="27" t="n"/>
      <c r="F237" s="28" t="n"/>
      <c r="G237" s="29">
        <f>IF(OR(C237="",D237=""),"",IF(C237="Buy",-(D237*E237+F237),D237*E237-F237))</f>
        <v/>
      </c>
      <c r="H237" s="30">
        <f>IF(OR(D237="",E237="",D237*E237=0),"",F237/(D237*E237))</f>
        <v/>
      </c>
      <c r="I237" s="26" t="n"/>
      <c r="J237" s="26" t="n"/>
    </row>
    <row r="238">
      <c r="A238" s="25" t="n"/>
      <c r="B238" s="26" t="n"/>
      <c r="C238" s="26" t="n"/>
      <c r="D238" s="26" t="n"/>
      <c r="E238" s="27" t="n"/>
      <c r="F238" s="28" t="n"/>
      <c r="G238" s="29">
        <f>IF(OR(C238="",D238=""),"",IF(C238="Buy",-(D238*E238+F238),D238*E238-F238))</f>
        <v/>
      </c>
      <c r="H238" s="30">
        <f>IF(OR(D238="",E238="",D238*E238=0),"",F238/(D238*E238))</f>
        <v/>
      </c>
      <c r="I238" s="26" t="n"/>
      <c r="J238" s="26" t="n"/>
    </row>
    <row r="239">
      <c r="A239" s="25" t="n"/>
      <c r="B239" s="26" t="n"/>
      <c r="C239" s="26" t="n"/>
      <c r="D239" s="26" t="n"/>
      <c r="E239" s="27" t="n"/>
      <c r="F239" s="28" t="n"/>
      <c r="G239" s="29">
        <f>IF(OR(C239="",D239=""),"",IF(C239="Buy",-(D239*E239+F239),D239*E239-F239))</f>
        <v/>
      </c>
      <c r="H239" s="30">
        <f>IF(OR(D239="",E239="",D239*E239=0),"",F239/(D239*E239))</f>
        <v/>
      </c>
      <c r="I239" s="26" t="n"/>
      <c r="J239" s="26" t="n"/>
    </row>
    <row r="240">
      <c r="A240" s="25" t="n"/>
      <c r="B240" s="26" t="n"/>
      <c r="C240" s="26" t="n"/>
      <c r="D240" s="26" t="n"/>
      <c r="E240" s="27" t="n"/>
      <c r="F240" s="28" t="n"/>
      <c r="G240" s="29">
        <f>IF(OR(C240="",D240=""),"",IF(C240="Buy",-(D240*E240+F240),D240*E240-F240))</f>
        <v/>
      </c>
      <c r="H240" s="30">
        <f>IF(OR(D240="",E240="",D240*E240=0),"",F240/(D240*E240))</f>
        <v/>
      </c>
      <c r="I240" s="26" t="n"/>
      <c r="J240" s="26" t="n"/>
    </row>
    <row r="241">
      <c r="A241" s="25" t="n"/>
      <c r="B241" s="26" t="n"/>
      <c r="C241" s="26" t="n"/>
      <c r="D241" s="26" t="n"/>
      <c r="E241" s="27" t="n"/>
      <c r="F241" s="28" t="n"/>
      <c r="G241" s="29">
        <f>IF(OR(C241="",D241=""),"",IF(C241="Buy",-(D241*E241+F241),D241*E241-F241))</f>
        <v/>
      </c>
      <c r="H241" s="30">
        <f>IF(OR(D241="",E241="",D241*E241=0),"",F241/(D241*E241))</f>
        <v/>
      </c>
      <c r="I241" s="26" t="n"/>
      <c r="J241" s="26" t="n"/>
    </row>
    <row r="242">
      <c r="A242" s="25" t="n"/>
      <c r="B242" s="26" t="n"/>
      <c r="C242" s="26" t="n"/>
      <c r="D242" s="26" t="n"/>
      <c r="E242" s="27" t="n"/>
      <c r="F242" s="28" t="n"/>
      <c r="G242" s="29">
        <f>IF(OR(C242="",D242=""),"",IF(C242="Buy",-(D242*E242+F242),D242*E242-F242))</f>
        <v/>
      </c>
      <c r="H242" s="30">
        <f>IF(OR(D242="",E242="",D242*E242=0),"",F242/(D242*E242))</f>
        <v/>
      </c>
      <c r="I242" s="26" t="n"/>
      <c r="J242" s="26" t="n"/>
    </row>
    <row r="243">
      <c r="A243" s="25" t="n"/>
      <c r="B243" s="26" t="n"/>
      <c r="C243" s="26" t="n"/>
      <c r="D243" s="26" t="n"/>
      <c r="E243" s="27" t="n"/>
      <c r="F243" s="28" t="n"/>
      <c r="G243" s="29">
        <f>IF(OR(C243="",D243=""),"",IF(C243="Buy",-(D243*E243+F243),D243*E243-F243))</f>
        <v/>
      </c>
      <c r="H243" s="30">
        <f>IF(OR(D243="",E243="",D243*E243=0),"",F243/(D243*E243))</f>
        <v/>
      </c>
      <c r="I243" s="26" t="n"/>
      <c r="J243" s="26" t="n"/>
    </row>
    <row r="244">
      <c r="A244" s="25" t="n"/>
      <c r="B244" s="26" t="n"/>
      <c r="C244" s="26" t="n"/>
      <c r="D244" s="26" t="n"/>
      <c r="E244" s="27" t="n"/>
      <c r="F244" s="28" t="n"/>
      <c r="G244" s="29">
        <f>IF(OR(C244="",D244=""),"",IF(C244="Buy",-(D244*E244+F244),D244*E244-F244))</f>
        <v/>
      </c>
      <c r="H244" s="30">
        <f>IF(OR(D244="",E244="",D244*E244=0),"",F244/(D244*E244))</f>
        <v/>
      </c>
      <c r="I244" s="26" t="n"/>
      <c r="J244" s="26" t="n"/>
    </row>
    <row r="245">
      <c r="A245" s="25" t="n"/>
      <c r="B245" s="26" t="n"/>
      <c r="C245" s="26" t="n"/>
      <c r="D245" s="26" t="n"/>
      <c r="E245" s="27" t="n"/>
      <c r="F245" s="28" t="n"/>
      <c r="G245" s="29">
        <f>IF(OR(C245="",D245=""),"",IF(C245="Buy",-(D245*E245+F245),D245*E245-F245))</f>
        <v/>
      </c>
      <c r="H245" s="30">
        <f>IF(OR(D245="",E245="",D245*E245=0),"",F245/(D245*E245))</f>
        <v/>
      </c>
      <c r="I245" s="26" t="n"/>
      <c r="J245" s="26" t="n"/>
    </row>
    <row r="246">
      <c r="A246" s="25" t="n"/>
      <c r="B246" s="26" t="n"/>
      <c r="C246" s="26" t="n"/>
      <c r="D246" s="26" t="n"/>
      <c r="E246" s="27" t="n"/>
      <c r="F246" s="28" t="n"/>
      <c r="G246" s="29">
        <f>IF(OR(C246="",D246=""),"",IF(C246="Buy",-(D246*E246+F246),D246*E246-F246))</f>
        <v/>
      </c>
      <c r="H246" s="30">
        <f>IF(OR(D246="",E246="",D246*E246=0),"",F246/(D246*E246))</f>
        <v/>
      </c>
      <c r="I246" s="26" t="n"/>
      <c r="J246" s="26" t="n"/>
    </row>
    <row r="247">
      <c r="A247" s="25" t="n"/>
      <c r="B247" s="26" t="n"/>
      <c r="C247" s="26" t="n"/>
      <c r="D247" s="26" t="n"/>
      <c r="E247" s="27" t="n"/>
      <c r="F247" s="28" t="n"/>
      <c r="G247" s="29">
        <f>IF(OR(C247="",D247=""),"",IF(C247="Buy",-(D247*E247+F247),D247*E247-F247))</f>
        <v/>
      </c>
      <c r="H247" s="30">
        <f>IF(OR(D247="",E247="",D247*E247=0),"",F247/(D247*E247))</f>
        <v/>
      </c>
      <c r="I247" s="26" t="n"/>
      <c r="J247" s="26" t="n"/>
    </row>
    <row r="248">
      <c r="A248" s="25" t="n"/>
      <c r="B248" s="26" t="n"/>
      <c r="C248" s="26" t="n"/>
      <c r="D248" s="26" t="n"/>
      <c r="E248" s="27" t="n"/>
      <c r="F248" s="28" t="n"/>
      <c r="G248" s="29">
        <f>IF(OR(C248="",D248=""),"",IF(C248="Buy",-(D248*E248+F248),D248*E248-F248))</f>
        <v/>
      </c>
      <c r="H248" s="30">
        <f>IF(OR(D248="",E248="",D248*E248=0),"",F248/(D248*E248))</f>
        <v/>
      </c>
      <c r="I248" s="26" t="n"/>
      <c r="J248" s="26" t="n"/>
    </row>
    <row r="249">
      <c r="A249" s="25" t="n"/>
      <c r="B249" s="26" t="n"/>
      <c r="C249" s="26" t="n"/>
      <c r="D249" s="26" t="n"/>
      <c r="E249" s="27" t="n"/>
      <c r="F249" s="28" t="n"/>
      <c r="G249" s="29">
        <f>IF(OR(C249="",D249=""),"",IF(C249="Buy",-(D249*E249+F249),D249*E249-F249))</f>
        <v/>
      </c>
      <c r="H249" s="30">
        <f>IF(OR(D249="",E249="",D249*E249=0),"",F249/(D249*E249))</f>
        <v/>
      </c>
      <c r="I249" s="26" t="n"/>
      <c r="J249" s="26" t="n"/>
    </row>
    <row r="250">
      <c r="A250" s="25" t="n"/>
      <c r="B250" s="26" t="n"/>
      <c r="C250" s="26" t="n"/>
      <c r="D250" s="26" t="n"/>
      <c r="E250" s="27" t="n"/>
      <c r="F250" s="28" t="n"/>
      <c r="G250" s="29">
        <f>IF(OR(C250="",D250=""),"",IF(C250="Buy",-(D250*E250+F250),D250*E250-F250))</f>
        <v/>
      </c>
      <c r="H250" s="30">
        <f>IF(OR(D250="",E250="",D250*E250=0),"",F250/(D250*E250))</f>
        <v/>
      </c>
      <c r="I250" s="26" t="n"/>
      <c r="J250" s="26" t="n"/>
    </row>
    <row r="251">
      <c r="A251" s="25" t="n"/>
      <c r="B251" s="26" t="n"/>
      <c r="C251" s="26" t="n"/>
      <c r="D251" s="26" t="n"/>
      <c r="E251" s="27" t="n"/>
      <c r="F251" s="28" t="n"/>
      <c r="G251" s="29">
        <f>IF(OR(C251="",D251=""),"",IF(C251="Buy",-(D251*E251+F251),D251*E251-F251))</f>
        <v/>
      </c>
      <c r="H251" s="30">
        <f>IF(OR(D251="",E251="",D251*E251=0),"",F251/(D251*E251))</f>
        <v/>
      </c>
      <c r="I251" s="26" t="n"/>
      <c r="J251" s="26" t="n"/>
    </row>
    <row r="252">
      <c r="A252" s="25" t="n"/>
      <c r="B252" s="26" t="n"/>
      <c r="C252" s="26" t="n"/>
      <c r="D252" s="26" t="n"/>
      <c r="E252" s="27" t="n"/>
      <c r="F252" s="28" t="n"/>
      <c r="G252" s="29">
        <f>IF(OR(C252="",D252=""),"",IF(C252="Buy",-(D252*E252+F252),D252*E252-F252))</f>
        <v/>
      </c>
      <c r="H252" s="30">
        <f>IF(OR(D252="",E252="",D252*E252=0),"",F252/(D252*E252))</f>
        <v/>
      </c>
      <c r="I252" s="26" t="n"/>
      <c r="J252" s="26" t="n"/>
    </row>
    <row r="253">
      <c r="A253" s="25" t="n"/>
      <c r="B253" s="26" t="n"/>
      <c r="C253" s="26" t="n"/>
      <c r="D253" s="26" t="n"/>
      <c r="E253" s="27" t="n"/>
      <c r="F253" s="28" t="n"/>
      <c r="G253" s="29">
        <f>IF(OR(C253="",D253=""),"",IF(C253="Buy",-(D253*E253+F253),D253*E253-F253))</f>
        <v/>
      </c>
      <c r="H253" s="30">
        <f>IF(OR(D253="",E253="",D253*E253=0),"",F253/(D253*E253))</f>
        <v/>
      </c>
      <c r="I253" s="26" t="n"/>
      <c r="J253" s="26" t="n"/>
    </row>
    <row r="254">
      <c r="A254" s="25" t="n"/>
      <c r="B254" s="26" t="n"/>
      <c r="C254" s="26" t="n"/>
      <c r="D254" s="26" t="n"/>
      <c r="E254" s="27" t="n"/>
      <c r="F254" s="28" t="n"/>
      <c r="G254" s="29">
        <f>IF(OR(C254="",D254=""),"",IF(C254="Buy",-(D254*E254+F254),D254*E254-F254))</f>
        <v/>
      </c>
      <c r="H254" s="30">
        <f>IF(OR(D254="",E254="",D254*E254=0),"",F254/(D254*E254))</f>
        <v/>
      </c>
      <c r="I254" s="26" t="n"/>
      <c r="J254" s="26" t="n"/>
    </row>
    <row r="255">
      <c r="A255" s="25" t="n"/>
      <c r="B255" s="26" t="n"/>
      <c r="C255" s="26" t="n"/>
      <c r="D255" s="26" t="n"/>
      <c r="E255" s="27" t="n"/>
      <c r="F255" s="28" t="n"/>
      <c r="G255" s="29">
        <f>IF(OR(C255="",D255=""),"",IF(C255="Buy",-(D255*E255+F255),D255*E255-F255))</f>
        <v/>
      </c>
      <c r="H255" s="30">
        <f>IF(OR(D255="",E255="",D255*E255=0),"",F255/(D255*E255))</f>
        <v/>
      </c>
      <c r="I255" s="26" t="n"/>
      <c r="J255" s="26" t="n"/>
    </row>
    <row r="256">
      <c r="A256" s="25" t="n"/>
      <c r="B256" s="26" t="n"/>
      <c r="C256" s="26" t="n"/>
      <c r="D256" s="26" t="n"/>
      <c r="E256" s="27" t="n"/>
      <c r="F256" s="28" t="n"/>
      <c r="G256" s="29">
        <f>IF(OR(C256="",D256=""),"",IF(C256="Buy",-(D256*E256+F256),D256*E256-F256))</f>
        <v/>
      </c>
      <c r="H256" s="30">
        <f>IF(OR(D256="",E256="",D256*E256=0),"",F256/(D256*E256))</f>
        <v/>
      </c>
      <c r="I256" s="26" t="n"/>
      <c r="J256" s="26" t="n"/>
    </row>
    <row r="257">
      <c r="A257" s="25" t="n"/>
      <c r="B257" s="26" t="n"/>
      <c r="C257" s="26" t="n"/>
      <c r="D257" s="26" t="n"/>
      <c r="E257" s="27" t="n"/>
      <c r="F257" s="28" t="n"/>
      <c r="G257" s="29">
        <f>IF(OR(C257="",D257=""),"",IF(C257="Buy",-(D257*E257+F257),D257*E257-F257))</f>
        <v/>
      </c>
      <c r="H257" s="30">
        <f>IF(OR(D257="",E257="",D257*E257=0),"",F257/(D257*E257))</f>
        <v/>
      </c>
      <c r="I257" s="26" t="n"/>
      <c r="J257" s="26" t="n"/>
    </row>
    <row r="258">
      <c r="A258" s="25" t="n"/>
      <c r="B258" s="26" t="n"/>
      <c r="C258" s="26" t="n"/>
      <c r="D258" s="26" t="n"/>
      <c r="E258" s="27" t="n"/>
      <c r="F258" s="28" t="n"/>
      <c r="G258" s="29">
        <f>IF(OR(C258="",D258=""),"",IF(C258="Buy",-(D258*E258+F258),D258*E258-F258))</f>
        <v/>
      </c>
      <c r="H258" s="30">
        <f>IF(OR(D258="",E258="",D258*E258=0),"",F258/(D258*E258))</f>
        <v/>
      </c>
      <c r="I258" s="26" t="n"/>
      <c r="J258" s="26" t="n"/>
    </row>
    <row r="259">
      <c r="A259" s="25" t="n"/>
      <c r="B259" s="26" t="n"/>
      <c r="C259" s="26" t="n"/>
      <c r="D259" s="26" t="n"/>
      <c r="E259" s="27" t="n"/>
      <c r="F259" s="28" t="n"/>
      <c r="G259" s="29">
        <f>IF(OR(C259="",D259=""),"",IF(C259="Buy",-(D259*E259+F259),D259*E259-F259))</f>
        <v/>
      </c>
      <c r="H259" s="30">
        <f>IF(OR(D259="",E259="",D259*E259=0),"",F259/(D259*E259))</f>
        <v/>
      </c>
      <c r="I259" s="26" t="n"/>
      <c r="J259" s="26" t="n"/>
    </row>
    <row r="260">
      <c r="A260" s="25" t="n"/>
      <c r="B260" s="26" t="n"/>
      <c r="C260" s="26" t="n"/>
      <c r="D260" s="26" t="n"/>
      <c r="E260" s="27" t="n"/>
      <c r="F260" s="28" t="n"/>
      <c r="G260" s="29">
        <f>IF(OR(C260="",D260=""),"",IF(C260="Buy",-(D260*E260+F260),D260*E260-F260))</f>
        <v/>
      </c>
      <c r="H260" s="30">
        <f>IF(OR(D260="",E260="",D260*E260=0),"",F260/(D260*E260))</f>
        <v/>
      </c>
      <c r="I260" s="26" t="n"/>
      <c r="J260" s="26" t="n"/>
    </row>
    <row r="261">
      <c r="A261" s="25" t="n"/>
      <c r="B261" s="26" t="n"/>
      <c r="C261" s="26" t="n"/>
      <c r="D261" s="26" t="n"/>
      <c r="E261" s="27" t="n"/>
      <c r="F261" s="28" t="n"/>
      <c r="G261" s="29">
        <f>IF(OR(C261="",D261=""),"",IF(C261="Buy",-(D261*E261+F261),D261*E261-F261))</f>
        <v/>
      </c>
      <c r="H261" s="30">
        <f>IF(OR(D261="",E261="",D261*E261=0),"",F261/(D261*E261))</f>
        <v/>
      </c>
      <c r="I261" s="26" t="n"/>
      <c r="J261" s="26" t="n"/>
    </row>
    <row r="262">
      <c r="A262" s="25" t="n"/>
      <c r="B262" s="26" t="n"/>
      <c r="C262" s="26" t="n"/>
      <c r="D262" s="26" t="n"/>
      <c r="E262" s="27" t="n"/>
      <c r="F262" s="28" t="n"/>
      <c r="G262" s="29">
        <f>IF(OR(C262="",D262=""),"",IF(C262="Buy",-(D262*E262+F262),D262*E262-F262))</f>
        <v/>
      </c>
      <c r="H262" s="30">
        <f>IF(OR(D262="",E262="",D262*E262=0),"",F262/(D262*E262))</f>
        <v/>
      </c>
      <c r="I262" s="26" t="n"/>
      <c r="J262" s="26" t="n"/>
    </row>
    <row r="263">
      <c r="A263" s="25" t="n"/>
      <c r="B263" s="26" t="n"/>
      <c r="C263" s="26" t="n"/>
      <c r="D263" s="26" t="n"/>
      <c r="E263" s="27" t="n"/>
      <c r="F263" s="28" t="n"/>
      <c r="G263" s="29">
        <f>IF(OR(C263="",D263=""),"",IF(C263="Buy",-(D263*E263+F263),D263*E263-F263))</f>
        <v/>
      </c>
      <c r="H263" s="30">
        <f>IF(OR(D263="",E263="",D263*E263=0),"",F263/(D263*E263))</f>
        <v/>
      </c>
      <c r="I263" s="26" t="n"/>
      <c r="J263" s="26" t="n"/>
    </row>
    <row r="264">
      <c r="A264" s="25" t="n"/>
      <c r="B264" s="26" t="n"/>
      <c r="C264" s="26" t="n"/>
      <c r="D264" s="26" t="n"/>
      <c r="E264" s="27" t="n"/>
      <c r="F264" s="28" t="n"/>
      <c r="G264" s="29">
        <f>IF(OR(C264="",D264=""),"",IF(C264="Buy",-(D264*E264+F264),D264*E264-F264))</f>
        <v/>
      </c>
      <c r="H264" s="30">
        <f>IF(OR(D264="",E264="",D264*E264=0),"",F264/(D264*E264))</f>
        <v/>
      </c>
      <c r="I264" s="26" t="n"/>
      <c r="J264" s="26" t="n"/>
    </row>
    <row r="265">
      <c r="A265" s="25" t="n"/>
      <c r="B265" s="26" t="n"/>
      <c r="C265" s="26" t="n"/>
      <c r="D265" s="26" t="n"/>
      <c r="E265" s="27" t="n"/>
      <c r="F265" s="28" t="n"/>
      <c r="G265" s="29">
        <f>IF(OR(C265="",D265=""),"",IF(C265="Buy",-(D265*E265+F265),D265*E265-F265))</f>
        <v/>
      </c>
      <c r="H265" s="30">
        <f>IF(OR(D265="",E265="",D265*E265=0),"",F265/(D265*E265))</f>
        <v/>
      </c>
      <c r="I265" s="26" t="n"/>
      <c r="J265" s="26" t="n"/>
    </row>
    <row r="266">
      <c r="A266" s="25" t="n"/>
      <c r="B266" s="26" t="n"/>
      <c r="C266" s="26" t="n"/>
      <c r="D266" s="26" t="n"/>
      <c r="E266" s="27" t="n"/>
      <c r="F266" s="28" t="n"/>
      <c r="G266" s="29">
        <f>IF(OR(C266="",D266=""),"",IF(C266="Buy",-(D266*E266+F266),D266*E266-F266))</f>
        <v/>
      </c>
      <c r="H266" s="30">
        <f>IF(OR(D266="",E266="",D266*E266=0),"",F266/(D266*E266))</f>
        <v/>
      </c>
      <c r="I266" s="26" t="n"/>
      <c r="J266" s="26" t="n"/>
    </row>
    <row r="267">
      <c r="A267" s="25" t="n"/>
      <c r="B267" s="26" t="n"/>
      <c r="C267" s="26" t="n"/>
      <c r="D267" s="26" t="n"/>
      <c r="E267" s="27" t="n"/>
      <c r="F267" s="28" t="n"/>
      <c r="G267" s="29">
        <f>IF(OR(C267="",D267=""),"",IF(C267="Buy",-(D267*E267+F267),D267*E267-F267))</f>
        <v/>
      </c>
      <c r="H267" s="30">
        <f>IF(OR(D267="",E267="",D267*E267=0),"",F267/(D267*E267))</f>
        <v/>
      </c>
      <c r="I267" s="26" t="n"/>
      <c r="J267" s="26" t="n"/>
    </row>
    <row r="268">
      <c r="A268" s="25" t="n"/>
      <c r="B268" s="26" t="n"/>
      <c r="C268" s="26" t="n"/>
      <c r="D268" s="26" t="n"/>
      <c r="E268" s="27" t="n"/>
      <c r="F268" s="28" t="n"/>
      <c r="G268" s="29">
        <f>IF(OR(C268="",D268=""),"",IF(C268="Buy",-(D268*E268+F268),D268*E268-F268))</f>
        <v/>
      </c>
      <c r="H268" s="30">
        <f>IF(OR(D268="",E268="",D268*E268=0),"",F268/(D268*E268))</f>
        <v/>
      </c>
      <c r="I268" s="26" t="n"/>
      <c r="J268" s="26" t="n"/>
    </row>
    <row r="269">
      <c r="A269" s="25" t="n"/>
      <c r="B269" s="26" t="n"/>
      <c r="C269" s="26" t="n"/>
      <c r="D269" s="26" t="n"/>
      <c r="E269" s="27" t="n"/>
      <c r="F269" s="28" t="n"/>
      <c r="G269" s="29">
        <f>IF(OR(C269="",D269=""),"",IF(C269="Buy",-(D269*E269+F269),D269*E269-F269))</f>
        <v/>
      </c>
      <c r="H269" s="30">
        <f>IF(OR(D269="",E269="",D269*E269=0),"",F269/(D269*E269))</f>
        <v/>
      </c>
      <c r="I269" s="26" t="n"/>
      <c r="J269" s="26" t="n"/>
    </row>
    <row r="270">
      <c r="A270" s="25" t="n"/>
      <c r="B270" s="26" t="n"/>
      <c r="C270" s="26" t="n"/>
      <c r="D270" s="26" t="n"/>
      <c r="E270" s="27" t="n"/>
      <c r="F270" s="28" t="n"/>
      <c r="G270" s="29">
        <f>IF(OR(C270="",D270=""),"",IF(C270="Buy",-(D270*E270+F270),D270*E270-F270))</f>
        <v/>
      </c>
      <c r="H270" s="30">
        <f>IF(OR(D270="",E270="",D270*E270=0),"",F270/(D270*E270))</f>
        <v/>
      </c>
      <c r="I270" s="26" t="n"/>
      <c r="J270" s="26" t="n"/>
    </row>
    <row r="271">
      <c r="A271" s="25" t="n"/>
      <c r="B271" s="26" t="n"/>
      <c r="C271" s="26" t="n"/>
      <c r="D271" s="26" t="n"/>
      <c r="E271" s="27" t="n"/>
      <c r="F271" s="28" t="n"/>
      <c r="G271" s="29">
        <f>IF(OR(C271="",D271=""),"",IF(C271="Buy",-(D271*E271+F271),D271*E271-F271))</f>
        <v/>
      </c>
      <c r="H271" s="30">
        <f>IF(OR(D271="",E271="",D271*E271=0),"",F271/(D271*E271))</f>
        <v/>
      </c>
      <c r="I271" s="26" t="n"/>
      <c r="J271" s="26" t="n"/>
    </row>
    <row r="272">
      <c r="A272" s="25" t="n"/>
      <c r="B272" s="26" t="n"/>
      <c r="C272" s="26" t="n"/>
      <c r="D272" s="26" t="n"/>
      <c r="E272" s="27" t="n"/>
      <c r="F272" s="28" t="n"/>
      <c r="G272" s="29">
        <f>IF(OR(C272="",D272=""),"",IF(C272="Buy",-(D272*E272+F272),D272*E272-F272))</f>
        <v/>
      </c>
      <c r="H272" s="30">
        <f>IF(OR(D272="",E272="",D272*E272=0),"",F272/(D272*E272))</f>
        <v/>
      </c>
      <c r="I272" s="26" t="n"/>
      <c r="J272" s="26" t="n"/>
    </row>
    <row r="273">
      <c r="A273" s="25" t="n"/>
      <c r="B273" s="26" t="n"/>
      <c r="C273" s="26" t="n"/>
      <c r="D273" s="26" t="n"/>
      <c r="E273" s="27" t="n"/>
      <c r="F273" s="28" t="n"/>
      <c r="G273" s="29">
        <f>IF(OR(C273="",D273=""),"",IF(C273="Buy",-(D273*E273+F273),D273*E273-F273))</f>
        <v/>
      </c>
      <c r="H273" s="30">
        <f>IF(OR(D273="",E273="",D273*E273=0),"",F273/(D273*E273))</f>
        <v/>
      </c>
      <c r="I273" s="26" t="n"/>
      <c r="J273" s="26" t="n"/>
    </row>
    <row r="274">
      <c r="A274" s="25" t="n"/>
      <c r="B274" s="26" t="n"/>
      <c r="C274" s="26" t="n"/>
      <c r="D274" s="26" t="n"/>
      <c r="E274" s="27" t="n"/>
      <c r="F274" s="28" t="n"/>
      <c r="G274" s="29">
        <f>IF(OR(C274="",D274=""),"",IF(C274="Buy",-(D274*E274+F274),D274*E274-F274))</f>
        <v/>
      </c>
      <c r="H274" s="30">
        <f>IF(OR(D274="",E274="",D274*E274=0),"",F274/(D274*E274))</f>
        <v/>
      </c>
      <c r="I274" s="26" t="n"/>
      <c r="J274" s="26" t="n"/>
    </row>
    <row r="275">
      <c r="A275" s="25" t="n"/>
      <c r="B275" s="26" t="n"/>
      <c r="C275" s="26" t="n"/>
      <c r="D275" s="26" t="n"/>
      <c r="E275" s="27" t="n"/>
      <c r="F275" s="28" t="n"/>
      <c r="G275" s="29">
        <f>IF(OR(C275="",D275=""),"",IF(C275="Buy",-(D275*E275+F275),D275*E275-F275))</f>
        <v/>
      </c>
      <c r="H275" s="30">
        <f>IF(OR(D275="",E275="",D275*E275=0),"",F275/(D275*E275))</f>
        <v/>
      </c>
      <c r="I275" s="26" t="n"/>
      <c r="J275" s="26" t="n"/>
    </row>
    <row r="276">
      <c r="A276" s="25" t="n"/>
      <c r="B276" s="26" t="n"/>
      <c r="C276" s="26" t="n"/>
      <c r="D276" s="26" t="n"/>
      <c r="E276" s="27" t="n"/>
      <c r="F276" s="28" t="n"/>
      <c r="G276" s="29">
        <f>IF(OR(C276="",D276=""),"",IF(C276="Buy",-(D276*E276+F276),D276*E276-F276))</f>
        <v/>
      </c>
      <c r="H276" s="30">
        <f>IF(OR(D276="",E276="",D276*E276=0),"",F276/(D276*E276))</f>
        <v/>
      </c>
      <c r="I276" s="26" t="n"/>
      <c r="J276" s="26" t="n"/>
    </row>
    <row r="277">
      <c r="A277" s="25" t="n"/>
      <c r="B277" s="26" t="n"/>
      <c r="C277" s="26" t="n"/>
      <c r="D277" s="26" t="n"/>
      <c r="E277" s="27" t="n"/>
      <c r="F277" s="28" t="n"/>
      <c r="G277" s="29">
        <f>IF(OR(C277="",D277=""),"",IF(C277="Buy",-(D277*E277+F277),D277*E277-F277))</f>
        <v/>
      </c>
      <c r="H277" s="30">
        <f>IF(OR(D277="",E277="",D277*E277=0),"",F277/(D277*E277))</f>
        <v/>
      </c>
      <c r="I277" s="26" t="n"/>
      <c r="J277" s="26" t="n"/>
    </row>
    <row r="278">
      <c r="A278" s="25" t="n"/>
      <c r="B278" s="26" t="n"/>
      <c r="C278" s="26" t="n"/>
      <c r="D278" s="26" t="n"/>
      <c r="E278" s="27" t="n"/>
      <c r="F278" s="28" t="n"/>
      <c r="G278" s="29">
        <f>IF(OR(C278="",D278=""),"",IF(C278="Buy",-(D278*E278+F278),D278*E278-F278))</f>
        <v/>
      </c>
      <c r="H278" s="30">
        <f>IF(OR(D278="",E278="",D278*E278=0),"",F278/(D278*E278))</f>
        <v/>
      </c>
      <c r="I278" s="26" t="n"/>
      <c r="J278" s="26" t="n"/>
    </row>
    <row r="279">
      <c r="A279" s="25" t="n"/>
      <c r="B279" s="26" t="n"/>
      <c r="C279" s="26" t="n"/>
      <c r="D279" s="26" t="n"/>
      <c r="E279" s="27" t="n"/>
      <c r="F279" s="28" t="n"/>
      <c r="G279" s="29">
        <f>IF(OR(C279="",D279=""),"",IF(C279="Buy",-(D279*E279+F279),D279*E279-F279))</f>
        <v/>
      </c>
      <c r="H279" s="30">
        <f>IF(OR(D279="",E279="",D279*E279=0),"",F279/(D279*E279))</f>
        <v/>
      </c>
      <c r="I279" s="26" t="n"/>
      <c r="J279" s="26" t="n"/>
    </row>
    <row r="280">
      <c r="A280" s="25" t="n"/>
      <c r="B280" s="26" t="n"/>
      <c r="C280" s="26" t="n"/>
      <c r="D280" s="26" t="n"/>
      <c r="E280" s="27" t="n"/>
      <c r="F280" s="28" t="n"/>
      <c r="G280" s="29">
        <f>IF(OR(C280="",D280=""),"",IF(C280="Buy",-(D280*E280+F280),D280*E280-F280))</f>
        <v/>
      </c>
      <c r="H280" s="30">
        <f>IF(OR(D280="",E280="",D280*E280=0),"",F280/(D280*E280))</f>
        <v/>
      </c>
      <c r="I280" s="26" t="n"/>
      <c r="J280" s="26" t="n"/>
    </row>
    <row r="281">
      <c r="A281" s="25" t="n"/>
      <c r="B281" s="26" t="n"/>
      <c r="C281" s="26" t="n"/>
      <c r="D281" s="26" t="n"/>
      <c r="E281" s="27" t="n"/>
      <c r="F281" s="28" t="n"/>
      <c r="G281" s="29">
        <f>IF(OR(C281="",D281=""),"",IF(C281="Buy",-(D281*E281+F281),D281*E281-F281))</f>
        <v/>
      </c>
      <c r="H281" s="30">
        <f>IF(OR(D281="",E281="",D281*E281=0),"",F281/(D281*E281))</f>
        <v/>
      </c>
      <c r="I281" s="26" t="n"/>
      <c r="J281" s="26" t="n"/>
    </row>
    <row r="282">
      <c r="A282" s="25" t="n"/>
      <c r="B282" s="26" t="n"/>
      <c r="C282" s="26" t="n"/>
      <c r="D282" s="26" t="n"/>
      <c r="E282" s="27" t="n"/>
      <c r="F282" s="28" t="n"/>
      <c r="G282" s="29">
        <f>IF(OR(C282="",D282=""),"",IF(C282="Buy",-(D282*E282+F282),D282*E282-F282))</f>
        <v/>
      </c>
      <c r="H282" s="30">
        <f>IF(OR(D282="",E282="",D282*E282=0),"",F282/(D282*E282))</f>
        <v/>
      </c>
      <c r="I282" s="26" t="n"/>
      <c r="J282" s="26" t="n"/>
    </row>
    <row r="283">
      <c r="A283" s="25" t="n"/>
      <c r="B283" s="26" t="n"/>
      <c r="C283" s="26" t="n"/>
      <c r="D283" s="26" t="n"/>
      <c r="E283" s="27" t="n"/>
      <c r="F283" s="28" t="n"/>
      <c r="G283" s="29">
        <f>IF(OR(C283="",D283=""),"",IF(C283="Buy",-(D283*E283+F283),D283*E283-F283))</f>
        <v/>
      </c>
      <c r="H283" s="30">
        <f>IF(OR(D283="",E283="",D283*E283=0),"",F283/(D283*E283))</f>
        <v/>
      </c>
      <c r="I283" s="26" t="n"/>
      <c r="J283" s="26" t="n"/>
    </row>
    <row r="284">
      <c r="A284" s="25" t="n"/>
      <c r="B284" s="26" t="n"/>
      <c r="C284" s="26" t="n"/>
      <c r="D284" s="26" t="n"/>
      <c r="E284" s="27" t="n"/>
      <c r="F284" s="28" t="n"/>
      <c r="G284" s="29">
        <f>IF(OR(C284="",D284=""),"",IF(C284="Buy",-(D284*E284+F284),D284*E284-F284))</f>
        <v/>
      </c>
      <c r="H284" s="30">
        <f>IF(OR(D284="",E284="",D284*E284=0),"",F284/(D284*E284))</f>
        <v/>
      </c>
      <c r="I284" s="26" t="n"/>
      <c r="J284" s="26" t="n"/>
    </row>
    <row r="285">
      <c r="A285" s="25" t="n"/>
      <c r="B285" s="26" t="n"/>
      <c r="C285" s="26" t="n"/>
      <c r="D285" s="26" t="n"/>
      <c r="E285" s="27" t="n"/>
      <c r="F285" s="28" t="n"/>
      <c r="G285" s="29">
        <f>IF(OR(C285="",D285=""),"",IF(C285="Buy",-(D285*E285+F285),D285*E285-F285))</f>
        <v/>
      </c>
      <c r="H285" s="30">
        <f>IF(OR(D285="",E285="",D285*E285=0),"",F285/(D285*E285))</f>
        <v/>
      </c>
      <c r="I285" s="26" t="n"/>
      <c r="J285" s="26" t="n"/>
    </row>
    <row r="286">
      <c r="A286" s="25" t="n"/>
      <c r="B286" s="26" t="n"/>
      <c r="C286" s="26" t="n"/>
      <c r="D286" s="26" t="n"/>
      <c r="E286" s="27" t="n"/>
      <c r="F286" s="28" t="n"/>
      <c r="G286" s="29">
        <f>IF(OR(C286="",D286=""),"",IF(C286="Buy",-(D286*E286+F286),D286*E286-F286))</f>
        <v/>
      </c>
      <c r="H286" s="30">
        <f>IF(OR(D286="",E286="",D286*E286=0),"",F286/(D286*E286))</f>
        <v/>
      </c>
      <c r="I286" s="26" t="n"/>
      <c r="J286" s="26" t="n"/>
    </row>
    <row r="287">
      <c r="A287" s="25" t="n"/>
      <c r="B287" s="26" t="n"/>
      <c r="C287" s="26" t="n"/>
      <c r="D287" s="26" t="n"/>
      <c r="E287" s="27" t="n"/>
      <c r="F287" s="28" t="n"/>
      <c r="G287" s="29">
        <f>IF(OR(C287="",D287=""),"",IF(C287="Buy",-(D287*E287+F287),D287*E287-F287))</f>
        <v/>
      </c>
      <c r="H287" s="30">
        <f>IF(OR(D287="",E287="",D287*E287=0),"",F287/(D287*E287))</f>
        <v/>
      </c>
      <c r="I287" s="26" t="n"/>
      <c r="J287" s="26" t="n"/>
    </row>
    <row r="288">
      <c r="A288" s="25" t="n"/>
      <c r="B288" s="26" t="n"/>
      <c r="C288" s="26" t="n"/>
      <c r="D288" s="26" t="n"/>
      <c r="E288" s="27" t="n"/>
      <c r="F288" s="28" t="n"/>
      <c r="G288" s="29">
        <f>IF(OR(C288="",D288=""),"",IF(C288="Buy",-(D288*E288+F288),D288*E288-F288))</f>
        <v/>
      </c>
      <c r="H288" s="30">
        <f>IF(OR(D288="",E288="",D288*E288=0),"",F288/(D288*E288))</f>
        <v/>
      </c>
      <c r="I288" s="26" t="n"/>
      <c r="J288" s="26" t="n"/>
    </row>
    <row r="289">
      <c r="A289" s="25" t="n"/>
      <c r="B289" s="26" t="n"/>
      <c r="C289" s="26" t="n"/>
      <c r="D289" s="26" t="n"/>
      <c r="E289" s="27" t="n"/>
      <c r="F289" s="28" t="n"/>
      <c r="G289" s="29">
        <f>IF(OR(C289="",D289=""),"",IF(C289="Buy",-(D289*E289+F289),D289*E289-F289))</f>
        <v/>
      </c>
      <c r="H289" s="30">
        <f>IF(OR(D289="",E289="",D289*E289=0),"",F289/(D289*E289))</f>
        <v/>
      </c>
      <c r="I289" s="26" t="n"/>
      <c r="J289" s="26" t="n"/>
    </row>
    <row r="290">
      <c r="A290" s="25" t="n"/>
      <c r="B290" s="26" t="n"/>
      <c r="C290" s="26" t="n"/>
      <c r="D290" s="26" t="n"/>
      <c r="E290" s="27" t="n"/>
      <c r="F290" s="28" t="n"/>
      <c r="G290" s="29">
        <f>IF(OR(C290="",D290=""),"",IF(C290="Buy",-(D290*E290+F290),D290*E290-F290))</f>
        <v/>
      </c>
      <c r="H290" s="30">
        <f>IF(OR(D290="",E290="",D290*E290=0),"",F290/(D290*E290))</f>
        <v/>
      </c>
      <c r="I290" s="26" t="n"/>
      <c r="J290" s="26" t="n"/>
    </row>
    <row r="291">
      <c r="A291" s="25" t="n"/>
      <c r="B291" s="26" t="n"/>
      <c r="C291" s="26" t="n"/>
      <c r="D291" s="26" t="n"/>
      <c r="E291" s="27" t="n"/>
      <c r="F291" s="28" t="n"/>
      <c r="G291" s="29">
        <f>IF(OR(C291="",D291=""),"",IF(C291="Buy",-(D291*E291+F291),D291*E291-F291))</f>
        <v/>
      </c>
      <c r="H291" s="30">
        <f>IF(OR(D291="",E291="",D291*E291=0),"",F291/(D291*E291))</f>
        <v/>
      </c>
      <c r="I291" s="26" t="n"/>
      <c r="J291" s="26" t="n"/>
    </row>
    <row r="292">
      <c r="A292" s="25" t="n"/>
      <c r="B292" s="26" t="n"/>
      <c r="C292" s="26" t="n"/>
      <c r="D292" s="26" t="n"/>
      <c r="E292" s="27" t="n"/>
      <c r="F292" s="28" t="n"/>
      <c r="G292" s="29">
        <f>IF(OR(C292="",D292=""),"",IF(C292="Buy",-(D292*E292+F292),D292*E292-F292))</f>
        <v/>
      </c>
      <c r="H292" s="30">
        <f>IF(OR(D292="",E292="",D292*E292=0),"",F292/(D292*E292))</f>
        <v/>
      </c>
      <c r="I292" s="26" t="n"/>
      <c r="J292" s="26" t="n"/>
    </row>
    <row r="293">
      <c r="A293" s="25" t="n"/>
      <c r="B293" s="26" t="n"/>
      <c r="C293" s="26" t="n"/>
      <c r="D293" s="26" t="n"/>
      <c r="E293" s="27" t="n"/>
      <c r="F293" s="28" t="n"/>
      <c r="G293" s="29">
        <f>IF(OR(C293="",D293=""),"",IF(C293="Buy",-(D293*E293+F293),D293*E293-F293))</f>
        <v/>
      </c>
      <c r="H293" s="30">
        <f>IF(OR(D293="",E293="",D293*E293=0),"",F293/(D293*E293))</f>
        <v/>
      </c>
      <c r="I293" s="26" t="n"/>
      <c r="J293" s="26" t="n"/>
    </row>
    <row r="294">
      <c r="A294" s="25" t="n"/>
      <c r="B294" s="26" t="n"/>
      <c r="C294" s="26" t="n"/>
      <c r="D294" s="26" t="n"/>
      <c r="E294" s="27" t="n"/>
      <c r="F294" s="28" t="n"/>
      <c r="G294" s="29">
        <f>IF(OR(C294="",D294=""),"",IF(C294="Buy",-(D294*E294+F294),D294*E294-F294))</f>
        <v/>
      </c>
      <c r="H294" s="30">
        <f>IF(OR(D294="",E294="",D294*E294=0),"",F294/(D294*E294))</f>
        <v/>
      </c>
      <c r="I294" s="26" t="n"/>
      <c r="J294" s="26" t="n"/>
    </row>
    <row r="295">
      <c r="A295" s="25" t="n"/>
      <c r="B295" s="26" t="n"/>
      <c r="C295" s="26" t="n"/>
      <c r="D295" s="26" t="n"/>
      <c r="E295" s="27" t="n"/>
      <c r="F295" s="28" t="n"/>
      <c r="G295" s="29">
        <f>IF(OR(C295="",D295=""),"",IF(C295="Buy",-(D295*E295+F295),D295*E295-F295))</f>
        <v/>
      </c>
      <c r="H295" s="30">
        <f>IF(OR(D295="",E295="",D295*E295=0),"",F295/(D295*E295))</f>
        <v/>
      </c>
      <c r="I295" s="26" t="n"/>
      <c r="J295" s="26" t="n"/>
    </row>
    <row r="296">
      <c r="A296" s="25" t="n"/>
      <c r="B296" s="26" t="n"/>
      <c r="C296" s="26" t="n"/>
      <c r="D296" s="26" t="n"/>
      <c r="E296" s="27" t="n"/>
      <c r="F296" s="28" t="n"/>
      <c r="G296" s="29">
        <f>IF(OR(C296="",D296=""),"",IF(C296="Buy",-(D296*E296+F296),D296*E296-F296))</f>
        <v/>
      </c>
      <c r="H296" s="30">
        <f>IF(OR(D296="",E296="",D296*E296=0),"",F296/(D296*E296))</f>
        <v/>
      </c>
      <c r="I296" s="26" t="n"/>
      <c r="J296" s="26" t="n"/>
    </row>
    <row r="297">
      <c r="A297" s="25" t="n"/>
      <c r="B297" s="26" t="n"/>
      <c r="C297" s="26" t="n"/>
      <c r="D297" s="26" t="n"/>
      <c r="E297" s="27" t="n"/>
      <c r="F297" s="28" t="n"/>
      <c r="G297" s="29">
        <f>IF(OR(C297="",D297=""),"",IF(C297="Buy",-(D297*E297+F297),D297*E297-F297))</f>
        <v/>
      </c>
      <c r="H297" s="30">
        <f>IF(OR(D297="",E297="",D297*E297=0),"",F297/(D297*E297))</f>
        <v/>
      </c>
      <c r="I297" s="26" t="n"/>
      <c r="J297" s="26" t="n"/>
    </row>
    <row r="298">
      <c r="A298" s="25" t="n"/>
      <c r="B298" s="26" t="n"/>
      <c r="C298" s="26" t="n"/>
      <c r="D298" s="26" t="n"/>
      <c r="E298" s="27" t="n"/>
      <c r="F298" s="28" t="n"/>
      <c r="G298" s="29">
        <f>IF(OR(C298="",D298=""),"",IF(C298="Buy",-(D298*E298+F298),D298*E298-F298))</f>
        <v/>
      </c>
      <c r="H298" s="30">
        <f>IF(OR(D298="",E298="",D298*E298=0),"",F298/(D298*E298))</f>
        <v/>
      </c>
      <c r="I298" s="26" t="n"/>
      <c r="J298" s="26" t="n"/>
    </row>
    <row r="299">
      <c r="A299" s="25" t="n"/>
      <c r="B299" s="26" t="n"/>
      <c r="C299" s="26" t="n"/>
      <c r="D299" s="26" t="n"/>
      <c r="E299" s="27" t="n"/>
      <c r="F299" s="28" t="n"/>
      <c r="G299" s="29">
        <f>IF(OR(C299="",D299=""),"",IF(C299="Buy",-(D299*E299+F299),D299*E299-F299))</f>
        <v/>
      </c>
      <c r="H299" s="30">
        <f>IF(OR(D299="",E299="",D299*E299=0),"",F299/(D299*E299))</f>
        <v/>
      </c>
      <c r="I299" s="26" t="n"/>
      <c r="J299" s="26" t="n"/>
    </row>
    <row r="300">
      <c r="A300" s="25" t="n"/>
      <c r="B300" s="26" t="n"/>
      <c r="C300" s="26" t="n"/>
      <c r="D300" s="26" t="n"/>
      <c r="E300" s="27" t="n"/>
      <c r="F300" s="28" t="n"/>
      <c r="G300" s="29">
        <f>IF(OR(C300="",D300=""),"",IF(C300="Buy",-(D300*E300+F300),D300*E300-F300))</f>
        <v/>
      </c>
      <c r="H300" s="30">
        <f>IF(OR(D300="",E300="",D300*E300=0),"",F300/(D300*E300))</f>
        <v/>
      </c>
      <c r="I300" s="26" t="n"/>
      <c r="J300" s="26" t="n"/>
    </row>
    <row r="301">
      <c r="A301" s="25" t="n"/>
      <c r="B301" s="26" t="n"/>
      <c r="C301" s="26" t="n"/>
      <c r="D301" s="26" t="n"/>
      <c r="E301" s="27" t="n"/>
      <c r="F301" s="28" t="n"/>
      <c r="G301" s="29">
        <f>IF(OR(C301="",D301=""),"",IF(C301="Buy",-(D301*E301+F301),D301*E301-F301))</f>
        <v/>
      </c>
      <c r="H301" s="30">
        <f>IF(OR(D301="",E301="",D301*E301=0),"",F301/(D301*E301))</f>
        <v/>
      </c>
      <c r="I301" s="26" t="n"/>
      <c r="J301" s="26" t="n"/>
    </row>
    <row r="302">
      <c r="A302" s="25" t="n"/>
      <c r="B302" s="26" t="n"/>
      <c r="C302" s="26" t="n"/>
      <c r="D302" s="26" t="n"/>
      <c r="E302" s="27" t="n"/>
      <c r="F302" s="28" t="n"/>
      <c r="G302" s="29">
        <f>IF(OR(C302="",D302=""),"",IF(C302="Buy",-(D302*E302+F302),D302*E302-F302))</f>
        <v/>
      </c>
      <c r="H302" s="30">
        <f>IF(OR(D302="",E302="",D302*E302=0),"",F302/(D302*E302))</f>
        <v/>
      </c>
      <c r="I302" s="26" t="n"/>
      <c r="J302" s="26" t="n"/>
    </row>
    <row r="303">
      <c r="A303" s="25" t="n"/>
      <c r="B303" s="26" t="n"/>
      <c r="C303" s="26" t="n"/>
      <c r="D303" s="26" t="n"/>
      <c r="E303" s="27" t="n"/>
      <c r="F303" s="28" t="n"/>
      <c r="G303" s="29">
        <f>IF(OR(C303="",D303=""),"",IF(C303="Buy",-(D303*E303+F303),D303*E303-F303))</f>
        <v/>
      </c>
      <c r="H303" s="30">
        <f>IF(OR(D303="",E303="",D303*E303=0),"",F303/(D303*E303))</f>
        <v/>
      </c>
      <c r="I303" s="26" t="n"/>
      <c r="J303" s="26" t="n"/>
    </row>
    <row r="304">
      <c r="A304" s="25" t="n"/>
      <c r="B304" s="26" t="n"/>
      <c r="C304" s="26" t="n"/>
      <c r="D304" s="26" t="n"/>
      <c r="E304" s="27" t="n"/>
      <c r="F304" s="28" t="n"/>
      <c r="G304" s="29">
        <f>IF(OR(C304="",D304=""),"",IF(C304="Buy",-(D304*E304+F304),D304*E304-F304))</f>
        <v/>
      </c>
      <c r="H304" s="30">
        <f>IF(OR(D304="",E304="",D304*E304=0),"",F304/(D304*E304))</f>
        <v/>
      </c>
      <c r="I304" s="26" t="n"/>
      <c r="J304" s="26" t="n"/>
    </row>
    <row r="305">
      <c r="A305" s="25" t="n"/>
      <c r="B305" s="26" t="n"/>
      <c r="C305" s="26" t="n"/>
      <c r="D305" s="26" t="n"/>
      <c r="E305" s="27" t="n"/>
      <c r="F305" s="28" t="n"/>
      <c r="G305" s="29">
        <f>IF(OR(C305="",D305=""),"",IF(C305="Buy",-(D305*E305+F305),D305*E305-F305))</f>
        <v/>
      </c>
      <c r="H305" s="30">
        <f>IF(OR(D305="",E305="",D305*E305=0),"",F305/(D305*E305))</f>
        <v/>
      </c>
      <c r="I305" s="26" t="n"/>
      <c r="J305" s="26" t="n"/>
    </row>
    <row r="306">
      <c r="A306" s="25" t="n"/>
      <c r="B306" s="26" t="n"/>
      <c r="C306" s="26" t="n"/>
      <c r="D306" s="26" t="n"/>
      <c r="E306" s="27" t="n"/>
      <c r="F306" s="28" t="n"/>
      <c r="G306" s="29">
        <f>IF(OR(C306="",D306=""),"",IF(C306="Buy",-(D306*E306+F306),D306*E306-F306))</f>
        <v/>
      </c>
      <c r="H306" s="30">
        <f>IF(OR(D306="",E306="",D306*E306=0),"",F306/(D306*E306))</f>
        <v/>
      </c>
      <c r="I306" s="26" t="n"/>
      <c r="J306" s="26" t="n"/>
    </row>
    <row r="307">
      <c r="A307" s="25" t="n"/>
      <c r="B307" s="26" t="n"/>
      <c r="C307" s="26" t="n"/>
      <c r="D307" s="26" t="n"/>
      <c r="E307" s="27" t="n"/>
      <c r="F307" s="28" t="n"/>
      <c r="G307" s="29">
        <f>IF(OR(C307="",D307=""),"",IF(C307="Buy",-(D307*E307+F307),D307*E307-F307))</f>
        <v/>
      </c>
      <c r="H307" s="30">
        <f>IF(OR(D307="",E307="",D307*E307=0),"",F307/(D307*E307))</f>
        <v/>
      </c>
      <c r="I307" s="26" t="n"/>
      <c r="J307" s="26" t="n"/>
    </row>
    <row r="308">
      <c r="A308" s="25" t="n"/>
      <c r="B308" s="26" t="n"/>
      <c r="C308" s="26" t="n"/>
      <c r="D308" s="26" t="n"/>
      <c r="E308" s="27" t="n"/>
      <c r="F308" s="28" t="n"/>
      <c r="G308" s="29">
        <f>IF(OR(C308="",D308=""),"",IF(C308="Buy",-(D308*E308+F308),D308*E308-F308))</f>
        <v/>
      </c>
      <c r="H308" s="30">
        <f>IF(OR(D308="",E308="",D308*E308=0),"",F308/(D308*E308))</f>
        <v/>
      </c>
      <c r="I308" s="26" t="n"/>
      <c r="J308" s="26" t="n"/>
    </row>
    <row r="309">
      <c r="A309" s="25" t="n"/>
      <c r="B309" s="26" t="n"/>
      <c r="C309" s="26" t="n"/>
      <c r="D309" s="26" t="n"/>
      <c r="E309" s="27" t="n"/>
      <c r="F309" s="28" t="n"/>
      <c r="G309" s="29">
        <f>IF(OR(C309="",D309=""),"",IF(C309="Buy",-(D309*E309+F309),D309*E309-F309))</f>
        <v/>
      </c>
      <c r="H309" s="30">
        <f>IF(OR(D309="",E309="",D309*E309=0),"",F309/(D309*E309))</f>
        <v/>
      </c>
      <c r="I309" s="26" t="n"/>
      <c r="J309" s="26" t="n"/>
    </row>
    <row r="310">
      <c r="A310" s="25" t="n"/>
      <c r="B310" s="26" t="n"/>
      <c r="C310" s="26" t="n"/>
      <c r="D310" s="26" t="n"/>
      <c r="E310" s="27" t="n"/>
      <c r="F310" s="28" t="n"/>
      <c r="G310" s="29">
        <f>IF(OR(C310="",D310=""),"",IF(C310="Buy",-(D310*E310+F310),D310*E310-F310))</f>
        <v/>
      </c>
      <c r="H310" s="30">
        <f>IF(OR(D310="",E310="",D310*E310=0),"",F310/(D310*E310))</f>
        <v/>
      </c>
      <c r="I310" s="26" t="n"/>
      <c r="J310" s="26" t="n"/>
    </row>
    <row r="311">
      <c r="A311" s="25" t="n"/>
      <c r="B311" s="26" t="n"/>
      <c r="C311" s="26" t="n"/>
      <c r="D311" s="26" t="n"/>
      <c r="E311" s="27" t="n"/>
      <c r="F311" s="28" t="n"/>
      <c r="G311" s="29">
        <f>IF(OR(C311="",D311=""),"",IF(C311="Buy",-(D311*E311+F311),D311*E311-F311))</f>
        <v/>
      </c>
      <c r="H311" s="30">
        <f>IF(OR(D311="",E311="",D311*E311=0),"",F311/(D311*E311))</f>
        <v/>
      </c>
      <c r="I311" s="26" t="n"/>
      <c r="J311" s="26" t="n"/>
    </row>
    <row r="312">
      <c r="A312" s="25" t="n"/>
      <c r="B312" s="26" t="n"/>
      <c r="C312" s="26" t="n"/>
      <c r="D312" s="26" t="n"/>
      <c r="E312" s="27" t="n"/>
      <c r="F312" s="28" t="n"/>
      <c r="G312" s="29">
        <f>IF(OR(C312="",D312=""),"",IF(C312="Buy",-(D312*E312+F312),D312*E312-F312))</f>
        <v/>
      </c>
      <c r="H312" s="30">
        <f>IF(OR(D312="",E312="",D312*E312=0),"",F312/(D312*E312))</f>
        <v/>
      </c>
      <c r="I312" s="26" t="n"/>
      <c r="J312" s="26" t="n"/>
    </row>
    <row r="313">
      <c r="A313" s="25" t="n"/>
      <c r="B313" s="26" t="n"/>
      <c r="C313" s="26" t="n"/>
      <c r="D313" s="26" t="n"/>
      <c r="E313" s="27" t="n"/>
      <c r="F313" s="28" t="n"/>
      <c r="G313" s="29">
        <f>IF(OR(C313="",D313=""),"",IF(C313="Buy",-(D313*E313+F313),D313*E313-F313))</f>
        <v/>
      </c>
      <c r="H313" s="30">
        <f>IF(OR(D313="",E313="",D313*E313=0),"",F313/(D313*E313))</f>
        <v/>
      </c>
      <c r="I313" s="26" t="n"/>
      <c r="J313" s="26" t="n"/>
    </row>
    <row r="314">
      <c r="A314" s="25" t="n"/>
      <c r="B314" s="26" t="n"/>
      <c r="C314" s="26" t="n"/>
      <c r="D314" s="26" t="n"/>
      <c r="E314" s="27" t="n"/>
      <c r="F314" s="28" t="n"/>
      <c r="G314" s="29">
        <f>IF(OR(C314="",D314=""),"",IF(C314="Buy",-(D314*E314+F314),D314*E314-F314))</f>
        <v/>
      </c>
      <c r="H314" s="30">
        <f>IF(OR(D314="",E314="",D314*E314=0),"",F314/(D314*E314))</f>
        <v/>
      </c>
      <c r="I314" s="26" t="n"/>
      <c r="J314" s="26" t="n"/>
    </row>
    <row r="315">
      <c r="A315" s="25" t="n"/>
      <c r="B315" s="26" t="n"/>
      <c r="C315" s="26" t="n"/>
      <c r="D315" s="26" t="n"/>
      <c r="E315" s="27" t="n"/>
      <c r="F315" s="28" t="n"/>
      <c r="G315" s="29">
        <f>IF(OR(C315="",D315=""),"",IF(C315="Buy",-(D315*E315+F315),D315*E315-F315))</f>
        <v/>
      </c>
      <c r="H315" s="30">
        <f>IF(OR(D315="",E315="",D315*E315=0),"",F315/(D315*E315))</f>
        <v/>
      </c>
      <c r="I315" s="26" t="n"/>
      <c r="J315" s="26" t="n"/>
    </row>
    <row r="316">
      <c r="A316" s="25" t="n"/>
      <c r="B316" s="26" t="n"/>
      <c r="C316" s="26" t="n"/>
      <c r="D316" s="26" t="n"/>
      <c r="E316" s="27" t="n"/>
      <c r="F316" s="28" t="n"/>
      <c r="G316" s="29">
        <f>IF(OR(C316="",D316=""),"",IF(C316="Buy",-(D316*E316+F316),D316*E316-F316))</f>
        <v/>
      </c>
      <c r="H316" s="30">
        <f>IF(OR(D316="",E316="",D316*E316=0),"",F316/(D316*E316))</f>
        <v/>
      </c>
      <c r="I316" s="26" t="n"/>
      <c r="J316" s="26" t="n"/>
    </row>
    <row r="317">
      <c r="A317" s="25" t="n"/>
      <c r="B317" s="26" t="n"/>
      <c r="C317" s="26" t="n"/>
      <c r="D317" s="26" t="n"/>
      <c r="E317" s="27" t="n"/>
      <c r="F317" s="28" t="n"/>
      <c r="G317" s="29">
        <f>IF(OR(C317="",D317=""),"",IF(C317="Buy",-(D317*E317+F317),D317*E317-F317))</f>
        <v/>
      </c>
      <c r="H317" s="30">
        <f>IF(OR(D317="",E317="",D317*E317=0),"",F317/(D317*E317))</f>
        <v/>
      </c>
      <c r="I317" s="26" t="n"/>
      <c r="J317" s="26" t="n"/>
    </row>
    <row r="318">
      <c r="A318" s="25" t="n"/>
      <c r="B318" s="26" t="n"/>
      <c r="C318" s="26" t="n"/>
      <c r="D318" s="26" t="n"/>
      <c r="E318" s="27" t="n"/>
      <c r="F318" s="28" t="n"/>
      <c r="G318" s="29">
        <f>IF(OR(C318="",D318=""),"",IF(C318="Buy",-(D318*E318+F318),D318*E318-F318))</f>
        <v/>
      </c>
      <c r="H318" s="30">
        <f>IF(OR(D318="",E318="",D318*E318=0),"",F318/(D318*E318))</f>
        <v/>
      </c>
      <c r="I318" s="26" t="n"/>
      <c r="J318" s="26" t="n"/>
    </row>
    <row r="319">
      <c r="A319" s="25" t="n"/>
      <c r="B319" s="26" t="n"/>
      <c r="C319" s="26" t="n"/>
      <c r="D319" s="26" t="n"/>
      <c r="E319" s="27" t="n"/>
      <c r="F319" s="28" t="n"/>
      <c r="G319" s="29">
        <f>IF(OR(C319="",D319=""),"",IF(C319="Buy",-(D319*E319+F319),D319*E319-F319))</f>
        <v/>
      </c>
      <c r="H319" s="30">
        <f>IF(OR(D319="",E319="",D319*E319=0),"",F319/(D319*E319))</f>
        <v/>
      </c>
      <c r="I319" s="26" t="n"/>
      <c r="J319" s="26" t="n"/>
    </row>
    <row r="320">
      <c r="A320" s="25" t="n"/>
      <c r="B320" s="26" t="n"/>
      <c r="C320" s="26" t="n"/>
      <c r="D320" s="26" t="n"/>
      <c r="E320" s="27" t="n"/>
      <c r="F320" s="28" t="n"/>
      <c r="G320" s="29">
        <f>IF(OR(C320="",D320=""),"",IF(C320="Buy",-(D320*E320+F320),D320*E320-F320))</f>
        <v/>
      </c>
      <c r="H320" s="30">
        <f>IF(OR(D320="",E320="",D320*E320=0),"",F320/(D320*E320))</f>
        <v/>
      </c>
      <c r="I320" s="26" t="n"/>
      <c r="J320" s="26" t="n"/>
    </row>
    <row r="321">
      <c r="A321" s="25" t="n"/>
      <c r="B321" s="26" t="n"/>
      <c r="C321" s="26" t="n"/>
      <c r="D321" s="26" t="n"/>
      <c r="E321" s="27" t="n"/>
      <c r="F321" s="28" t="n"/>
      <c r="G321" s="29">
        <f>IF(OR(C321="",D321=""),"",IF(C321="Buy",-(D321*E321+F321),D321*E321-F321))</f>
        <v/>
      </c>
      <c r="H321" s="30">
        <f>IF(OR(D321="",E321="",D321*E321=0),"",F321/(D321*E321))</f>
        <v/>
      </c>
      <c r="I321" s="26" t="n"/>
      <c r="J321" s="26" t="n"/>
    </row>
    <row r="322">
      <c r="A322" s="25" t="n"/>
      <c r="B322" s="26" t="n"/>
      <c r="C322" s="26" t="n"/>
      <c r="D322" s="26" t="n"/>
      <c r="E322" s="27" t="n"/>
      <c r="F322" s="28" t="n"/>
      <c r="G322" s="29">
        <f>IF(OR(C322="",D322=""),"",IF(C322="Buy",-(D322*E322+F322),D322*E322-F322))</f>
        <v/>
      </c>
      <c r="H322" s="30">
        <f>IF(OR(D322="",E322="",D322*E322=0),"",F322/(D322*E322))</f>
        <v/>
      </c>
      <c r="I322" s="26" t="n"/>
      <c r="J322" s="26" t="n"/>
    </row>
    <row r="323">
      <c r="A323" s="25" t="n"/>
      <c r="B323" s="26" t="n"/>
      <c r="C323" s="26" t="n"/>
      <c r="D323" s="26" t="n"/>
      <c r="E323" s="27" t="n"/>
      <c r="F323" s="28" t="n"/>
      <c r="G323" s="29">
        <f>IF(OR(C323="",D323=""),"",IF(C323="Buy",-(D323*E323+F323),D323*E323-F323))</f>
        <v/>
      </c>
      <c r="H323" s="30">
        <f>IF(OR(D323="",E323="",D323*E323=0),"",F323/(D323*E323))</f>
        <v/>
      </c>
      <c r="I323" s="26" t="n"/>
      <c r="J323" s="26" t="n"/>
    </row>
    <row r="324">
      <c r="A324" s="25" t="n"/>
      <c r="B324" s="26" t="n"/>
      <c r="C324" s="26" t="n"/>
      <c r="D324" s="26" t="n"/>
      <c r="E324" s="27" t="n"/>
      <c r="F324" s="28" t="n"/>
      <c r="G324" s="29">
        <f>IF(OR(C324="",D324=""),"",IF(C324="Buy",-(D324*E324+F324),D324*E324-F324))</f>
        <v/>
      </c>
      <c r="H324" s="30">
        <f>IF(OR(D324="",E324="",D324*E324=0),"",F324/(D324*E324))</f>
        <v/>
      </c>
      <c r="I324" s="26" t="n"/>
      <c r="J324" s="26" t="n"/>
    </row>
    <row r="325">
      <c r="A325" s="25" t="n"/>
      <c r="B325" s="26" t="n"/>
      <c r="C325" s="26" t="n"/>
      <c r="D325" s="26" t="n"/>
      <c r="E325" s="27" t="n"/>
      <c r="F325" s="28" t="n"/>
      <c r="G325" s="29">
        <f>IF(OR(C325="",D325=""),"",IF(C325="Buy",-(D325*E325+F325),D325*E325-F325))</f>
        <v/>
      </c>
      <c r="H325" s="30">
        <f>IF(OR(D325="",E325="",D325*E325=0),"",F325/(D325*E325))</f>
        <v/>
      </c>
      <c r="I325" s="26" t="n"/>
      <c r="J325" s="26" t="n"/>
    </row>
    <row r="326">
      <c r="A326" s="25" t="n"/>
      <c r="B326" s="26" t="n"/>
      <c r="C326" s="26" t="n"/>
      <c r="D326" s="26" t="n"/>
      <c r="E326" s="27" t="n"/>
      <c r="F326" s="28" t="n"/>
      <c r="G326" s="29">
        <f>IF(OR(C326="",D326=""),"",IF(C326="Buy",-(D326*E326+F326),D326*E326-F326))</f>
        <v/>
      </c>
      <c r="H326" s="30">
        <f>IF(OR(D326="",E326="",D326*E326=0),"",F326/(D326*E326))</f>
        <v/>
      </c>
      <c r="I326" s="26" t="n"/>
      <c r="J326" s="26" t="n"/>
    </row>
    <row r="327">
      <c r="A327" s="25" t="n"/>
      <c r="B327" s="26" t="n"/>
      <c r="C327" s="26" t="n"/>
      <c r="D327" s="26" t="n"/>
      <c r="E327" s="27" t="n"/>
      <c r="F327" s="28" t="n"/>
      <c r="G327" s="29">
        <f>IF(OR(C327="",D327=""),"",IF(C327="Buy",-(D327*E327+F327),D327*E327-F327))</f>
        <v/>
      </c>
      <c r="H327" s="30">
        <f>IF(OR(D327="",E327="",D327*E327=0),"",F327/(D327*E327))</f>
        <v/>
      </c>
      <c r="I327" s="26" t="n"/>
      <c r="J327" s="26" t="n"/>
    </row>
    <row r="328">
      <c r="A328" s="25" t="n"/>
      <c r="B328" s="26" t="n"/>
      <c r="C328" s="26" t="n"/>
      <c r="D328" s="26" t="n"/>
      <c r="E328" s="27" t="n"/>
      <c r="F328" s="28" t="n"/>
      <c r="G328" s="29">
        <f>IF(OR(C328="",D328=""),"",IF(C328="Buy",-(D328*E328+F328),D328*E328-F328))</f>
        <v/>
      </c>
      <c r="H328" s="30">
        <f>IF(OR(D328="",E328="",D328*E328=0),"",F328/(D328*E328))</f>
        <v/>
      </c>
      <c r="I328" s="26" t="n"/>
      <c r="J328" s="26" t="n"/>
    </row>
    <row r="329">
      <c r="A329" s="25" t="n"/>
      <c r="B329" s="26" t="n"/>
      <c r="C329" s="26" t="n"/>
      <c r="D329" s="26" t="n"/>
      <c r="E329" s="27" t="n"/>
      <c r="F329" s="28" t="n"/>
      <c r="G329" s="29">
        <f>IF(OR(C329="",D329=""),"",IF(C329="Buy",-(D329*E329+F329),D329*E329-F329))</f>
        <v/>
      </c>
      <c r="H329" s="30">
        <f>IF(OR(D329="",E329="",D329*E329=0),"",F329/(D329*E329))</f>
        <v/>
      </c>
      <c r="I329" s="26" t="n"/>
      <c r="J329" s="26" t="n"/>
    </row>
    <row r="330">
      <c r="A330" s="25" t="n"/>
      <c r="B330" s="26" t="n"/>
      <c r="C330" s="26" t="n"/>
      <c r="D330" s="26" t="n"/>
      <c r="E330" s="27" t="n"/>
      <c r="F330" s="28" t="n"/>
      <c r="G330" s="29">
        <f>IF(OR(C330="",D330=""),"",IF(C330="Buy",-(D330*E330+F330),D330*E330-F330))</f>
        <v/>
      </c>
      <c r="H330" s="30">
        <f>IF(OR(D330="",E330="",D330*E330=0),"",F330/(D330*E330))</f>
        <v/>
      </c>
      <c r="I330" s="26" t="n"/>
      <c r="J330" s="26" t="n"/>
    </row>
    <row r="331">
      <c r="A331" s="25" t="n"/>
      <c r="B331" s="26" t="n"/>
      <c r="C331" s="26" t="n"/>
      <c r="D331" s="26" t="n"/>
      <c r="E331" s="27" t="n"/>
      <c r="F331" s="28" t="n"/>
      <c r="G331" s="29">
        <f>IF(OR(C331="",D331=""),"",IF(C331="Buy",-(D331*E331+F331),D331*E331-F331))</f>
        <v/>
      </c>
      <c r="H331" s="30">
        <f>IF(OR(D331="",E331="",D331*E331=0),"",F331/(D331*E331))</f>
        <v/>
      </c>
      <c r="I331" s="26" t="n"/>
      <c r="J331" s="26" t="n"/>
    </row>
    <row r="332">
      <c r="A332" s="25" t="n"/>
      <c r="B332" s="26" t="n"/>
      <c r="C332" s="26" t="n"/>
      <c r="D332" s="26" t="n"/>
      <c r="E332" s="27" t="n"/>
      <c r="F332" s="28" t="n"/>
      <c r="G332" s="29">
        <f>IF(OR(C332="",D332=""),"",IF(C332="Buy",-(D332*E332+F332),D332*E332-F332))</f>
        <v/>
      </c>
      <c r="H332" s="30">
        <f>IF(OR(D332="",E332="",D332*E332=0),"",F332/(D332*E332))</f>
        <v/>
      </c>
      <c r="I332" s="26" t="n"/>
      <c r="J332" s="26" t="n"/>
    </row>
    <row r="333">
      <c r="A333" s="25" t="n"/>
      <c r="B333" s="26" t="n"/>
      <c r="C333" s="26" t="n"/>
      <c r="D333" s="26" t="n"/>
      <c r="E333" s="27" t="n"/>
      <c r="F333" s="28" t="n"/>
      <c r="G333" s="29">
        <f>IF(OR(C333="",D333=""),"",IF(C333="Buy",-(D333*E333+F333),D333*E333-F333))</f>
        <v/>
      </c>
      <c r="H333" s="30">
        <f>IF(OR(D333="",E333="",D333*E333=0),"",F333/(D333*E333))</f>
        <v/>
      </c>
      <c r="I333" s="26" t="n"/>
      <c r="J333" s="26" t="n"/>
    </row>
    <row r="334">
      <c r="A334" s="25" t="n"/>
      <c r="B334" s="26" t="n"/>
      <c r="C334" s="26" t="n"/>
      <c r="D334" s="26" t="n"/>
      <c r="E334" s="27" t="n"/>
      <c r="F334" s="28" t="n"/>
      <c r="G334" s="29">
        <f>IF(OR(C334="",D334=""),"",IF(C334="Buy",-(D334*E334+F334),D334*E334-F334))</f>
        <v/>
      </c>
      <c r="H334" s="30">
        <f>IF(OR(D334="",E334="",D334*E334=0),"",F334/(D334*E334))</f>
        <v/>
      </c>
      <c r="I334" s="26" t="n"/>
      <c r="J334" s="26" t="n"/>
    </row>
    <row r="335">
      <c r="A335" s="25" t="n"/>
      <c r="B335" s="26" t="n"/>
      <c r="C335" s="26" t="n"/>
      <c r="D335" s="26" t="n"/>
      <c r="E335" s="27" t="n"/>
      <c r="F335" s="28" t="n"/>
      <c r="G335" s="29">
        <f>IF(OR(C335="",D335=""),"",IF(C335="Buy",-(D335*E335+F335),D335*E335-F335))</f>
        <v/>
      </c>
      <c r="H335" s="30">
        <f>IF(OR(D335="",E335="",D335*E335=0),"",F335/(D335*E335))</f>
        <v/>
      </c>
      <c r="I335" s="26" t="n"/>
      <c r="J335" s="26" t="n"/>
    </row>
    <row r="336">
      <c r="A336" s="25" t="n"/>
      <c r="B336" s="26" t="n"/>
      <c r="C336" s="26" t="n"/>
      <c r="D336" s="26" t="n"/>
      <c r="E336" s="27" t="n"/>
      <c r="F336" s="28" t="n"/>
      <c r="G336" s="29">
        <f>IF(OR(C336="",D336=""),"",IF(C336="Buy",-(D336*E336+F336),D336*E336-F336))</f>
        <v/>
      </c>
      <c r="H336" s="30">
        <f>IF(OR(D336="",E336="",D336*E336=0),"",F336/(D336*E336))</f>
        <v/>
      </c>
      <c r="I336" s="26" t="n"/>
      <c r="J336" s="26" t="n"/>
    </row>
    <row r="337">
      <c r="A337" s="25" t="n"/>
      <c r="B337" s="26" t="n"/>
      <c r="C337" s="26" t="n"/>
      <c r="D337" s="26" t="n"/>
      <c r="E337" s="27" t="n"/>
      <c r="F337" s="28" t="n"/>
      <c r="G337" s="29">
        <f>IF(OR(C337="",D337=""),"",IF(C337="Buy",-(D337*E337+F337),D337*E337-F337))</f>
        <v/>
      </c>
      <c r="H337" s="30">
        <f>IF(OR(D337="",E337="",D337*E337=0),"",F337/(D337*E337))</f>
        <v/>
      </c>
      <c r="I337" s="26" t="n"/>
      <c r="J337" s="26" t="n"/>
    </row>
    <row r="338">
      <c r="A338" s="25" t="n"/>
      <c r="B338" s="26" t="n"/>
      <c r="C338" s="26" t="n"/>
      <c r="D338" s="26" t="n"/>
      <c r="E338" s="27" t="n"/>
      <c r="F338" s="28" t="n"/>
      <c r="G338" s="29">
        <f>IF(OR(C338="",D338=""),"",IF(C338="Buy",-(D338*E338+F338),D338*E338-F338))</f>
        <v/>
      </c>
      <c r="H338" s="30">
        <f>IF(OR(D338="",E338="",D338*E338=0),"",F338/(D338*E338))</f>
        <v/>
      </c>
      <c r="I338" s="26" t="n"/>
      <c r="J338" s="26" t="n"/>
    </row>
    <row r="339">
      <c r="A339" s="25" t="n"/>
      <c r="B339" s="26" t="n"/>
      <c r="C339" s="26" t="n"/>
      <c r="D339" s="26" t="n"/>
      <c r="E339" s="27" t="n"/>
      <c r="F339" s="28" t="n"/>
      <c r="G339" s="29">
        <f>IF(OR(C339="",D339=""),"",IF(C339="Buy",-(D339*E339+F339),D339*E339-F339))</f>
        <v/>
      </c>
      <c r="H339" s="30">
        <f>IF(OR(D339="",E339="",D339*E339=0),"",F339/(D339*E339))</f>
        <v/>
      </c>
      <c r="I339" s="26" t="n"/>
      <c r="J339" s="26" t="n"/>
    </row>
    <row r="340">
      <c r="A340" s="25" t="n"/>
      <c r="B340" s="26" t="n"/>
      <c r="C340" s="26" t="n"/>
      <c r="D340" s="26" t="n"/>
      <c r="E340" s="27" t="n"/>
      <c r="F340" s="28" t="n"/>
      <c r="G340" s="29">
        <f>IF(OR(C340="",D340=""),"",IF(C340="Buy",-(D340*E340+F340),D340*E340-F340))</f>
        <v/>
      </c>
      <c r="H340" s="30">
        <f>IF(OR(D340="",E340="",D340*E340=0),"",F340/(D340*E340))</f>
        <v/>
      </c>
      <c r="I340" s="26" t="n"/>
      <c r="J340" s="26" t="n"/>
    </row>
    <row r="341">
      <c r="A341" s="25" t="n"/>
      <c r="B341" s="26" t="n"/>
      <c r="C341" s="26" t="n"/>
      <c r="D341" s="26" t="n"/>
      <c r="E341" s="27" t="n"/>
      <c r="F341" s="28" t="n"/>
      <c r="G341" s="29">
        <f>IF(OR(C341="",D341=""),"",IF(C341="Buy",-(D341*E341+F341),D341*E341-F341))</f>
        <v/>
      </c>
      <c r="H341" s="30">
        <f>IF(OR(D341="",E341="",D341*E341=0),"",F341/(D341*E341))</f>
        <v/>
      </c>
      <c r="I341" s="26" t="n"/>
      <c r="J341" s="26" t="n"/>
    </row>
    <row r="342">
      <c r="A342" s="25" t="n"/>
      <c r="B342" s="26" t="n"/>
      <c r="C342" s="26" t="n"/>
      <c r="D342" s="26" t="n"/>
      <c r="E342" s="27" t="n"/>
      <c r="F342" s="28" t="n"/>
      <c r="G342" s="29">
        <f>IF(OR(C342="",D342=""),"",IF(C342="Buy",-(D342*E342+F342),D342*E342-F342))</f>
        <v/>
      </c>
      <c r="H342" s="30">
        <f>IF(OR(D342="",E342="",D342*E342=0),"",F342/(D342*E342))</f>
        <v/>
      </c>
      <c r="I342" s="26" t="n"/>
      <c r="J342" s="26" t="n"/>
    </row>
    <row r="343">
      <c r="A343" s="25" t="n"/>
      <c r="B343" s="26" t="n"/>
      <c r="C343" s="26" t="n"/>
      <c r="D343" s="26" t="n"/>
      <c r="E343" s="27" t="n"/>
      <c r="F343" s="28" t="n"/>
      <c r="G343" s="29">
        <f>IF(OR(C343="",D343=""),"",IF(C343="Buy",-(D343*E343+F343),D343*E343-F343))</f>
        <v/>
      </c>
      <c r="H343" s="30">
        <f>IF(OR(D343="",E343="",D343*E343=0),"",F343/(D343*E343))</f>
        <v/>
      </c>
      <c r="I343" s="26" t="n"/>
      <c r="J343" s="26" t="n"/>
    </row>
    <row r="344">
      <c r="A344" s="25" t="n"/>
      <c r="B344" s="26" t="n"/>
      <c r="C344" s="26" t="n"/>
      <c r="D344" s="26" t="n"/>
      <c r="E344" s="27" t="n"/>
      <c r="F344" s="28" t="n"/>
      <c r="G344" s="29">
        <f>IF(OR(C344="",D344=""),"",IF(C344="Buy",-(D344*E344+F344),D344*E344-F344))</f>
        <v/>
      </c>
      <c r="H344" s="30">
        <f>IF(OR(D344="",E344="",D344*E344=0),"",F344/(D344*E344))</f>
        <v/>
      </c>
      <c r="I344" s="26" t="n"/>
      <c r="J344" s="26" t="n"/>
    </row>
    <row r="345">
      <c r="A345" s="25" t="n"/>
      <c r="B345" s="26" t="n"/>
      <c r="C345" s="26" t="n"/>
      <c r="D345" s="26" t="n"/>
      <c r="E345" s="27" t="n"/>
      <c r="F345" s="28" t="n"/>
      <c r="G345" s="29">
        <f>IF(OR(C345="",D345=""),"",IF(C345="Buy",-(D345*E345+F345),D345*E345-F345))</f>
        <v/>
      </c>
      <c r="H345" s="30">
        <f>IF(OR(D345="",E345="",D345*E345=0),"",F345/(D345*E345))</f>
        <v/>
      </c>
      <c r="I345" s="26" t="n"/>
      <c r="J345" s="26" t="n"/>
    </row>
    <row r="346">
      <c r="A346" s="25" t="n"/>
      <c r="B346" s="26" t="n"/>
      <c r="C346" s="26" t="n"/>
      <c r="D346" s="26" t="n"/>
      <c r="E346" s="27" t="n"/>
      <c r="F346" s="28" t="n"/>
      <c r="G346" s="29">
        <f>IF(OR(C346="",D346=""),"",IF(C346="Buy",-(D346*E346+F346),D346*E346-F346))</f>
        <v/>
      </c>
      <c r="H346" s="30">
        <f>IF(OR(D346="",E346="",D346*E346=0),"",F346/(D346*E346))</f>
        <v/>
      </c>
      <c r="I346" s="26" t="n"/>
      <c r="J346" s="26" t="n"/>
    </row>
    <row r="347">
      <c r="A347" s="25" t="n"/>
      <c r="B347" s="26" t="n"/>
      <c r="C347" s="26" t="n"/>
      <c r="D347" s="26" t="n"/>
      <c r="E347" s="27" t="n"/>
      <c r="F347" s="28" t="n"/>
      <c r="G347" s="29">
        <f>IF(OR(C347="",D347=""),"",IF(C347="Buy",-(D347*E347+F347),D347*E347-F347))</f>
        <v/>
      </c>
      <c r="H347" s="30">
        <f>IF(OR(D347="",E347="",D347*E347=0),"",F347/(D347*E347))</f>
        <v/>
      </c>
      <c r="I347" s="26" t="n"/>
      <c r="J347" s="26" t="n"/>
    </row>
    <row r="348">
      <c r="A348" s="25" t="n"/>
      <c r="B348" s="26" t="n"/>
      <c r="C348" s="26" t="n"/>
      <c r="D348" s="26" t="n"/>
      <c r="E348" s="27" t="n"/>
      <c r="F348" s="28" t="n"/>
      <c r="G348" s="29">
        <f>IF(OR(C348="",D348=""),"",IF(C348="Buy",-(D348*E348+F348),D348*E348-F348))</f>
        <v/>
      </c>
      <c r="H348" s="30">
        <f>IF(OR(D348="",E348="",D348*E348=0),"",F348/(D348*E348))</f>
        <v/>
      </c>
      <c r="I348" s="26" t="n"/>
      <c r="J348" s="26" t="n"/>
    </row>
    <row r="349">
      <c r="A349" s="25" t="n"/>
      <c r="B349" s="26" t="n"/>
      <c r="C349" s="26" t="n"/>
      <c r="D349" s="26" t="n"/>
      <c r="E349" s="27" t="n"/>
      <c r="F349" s="28" t="n"/>
      <c r="G349" s="29">
        <f>IF(OR(C349="",D349=""),"",IF(C349="Buy",-(D349*E349+F349),D349*E349-F349))</f>
        <v/>
      </c>
      <c r="H349" s="30">
        <f>IF(OR(D349="",E349="",D349*E349=0),"",F349/(D349*E349))</f>
        <v/>
      </c>
      <c r="I349" s="26" t="n"/>
      <c r="J349" s="26" t="n"/>
    </row>
    <row r="350">
      <c r="A350" s="25" t="n"/>
      <c r="B350" s="26" t="n"/>
      <c r="C350" s="26" t="n"/>
      <c r="D350" s="26" t="n"/>
      <c r="E350" s="27" t="n"/>
      <c r="F350" s="28" t="n"/>
      <c r="G350" s="29">
        <f>IF(OR(C350="",D350=""),"",IF(C350="Buy",-(D350*E350+F350),D350*E350-F350))</f>
        <v/>
      </c>
      <c r="H350" s="30">
        <f>IF(OR(D350="",E350="",D350*E350=0),"",F350/(D350*E350))</f>
        <v/>
      </c>
      <c r="I350" s="26" t="n"/>
      <c r="J350" s="26" t="n"/>
    </row>
    <row r="351">
      <c r="A351" s="25" t="n"/>
      <c r="B351" s="26" t="n"/>
      <c r="C351" s="26" t="n"/>
      <c r="D351" s="26" t="n"/>
      <c r="E351" s="27" t="n"/>
      <c r="F351" s="28" t="n"/>
      <c r="G351" s="29">
        <f>IF(OR(C351="",D351=""),"",IF(C351="Buy",-(D351*E351+F351),D351*E351-F351))</f>
        <v/>
      </c>
      <c r="H351" s="30">
        <f>IF(OR(D351="",E351="",D351*E351=0),"",F351/(D351*E351))</f>
        <v/>
      </c>
      <c r="I351" s="26" t="n"/>
      <c r="J351" s="26" t="n"/>
    </row>
    <row r="352">
      <c r="A352" s="25" t="n"/>
      <c r="B352" s="26" t="n"/>
      <c r="C352" s="26" t="n"/>
      <c r="D352" s="26" t="n"/>
      <c r="E352" s="27" t="n"/>
      <c r="F352" s="28" t="n"/>
      <c r="G352" s="29">
        <f>IF(OR(C352="",D352=""),"",IF(C352="Buy",-(D352*E352+F352),D352*E352-F352))</f>
        <v/>
      </c>
      <c r="H352" s="30">
        <f>IF(OR(D352="",E352="",D352*E352=0),"",F352/(D352*E352))</f>
        <v/>
      </c>
      <c r="I352" s="26" t="n"/>
      <c r="J352" s="26" t="n"/>
    </row>
    <row r="353">
      <c r="A353" s="25" t="n"/>
      <c r="B353" s="26" t="n"/>
      <c r="C353" s="26" t="n"/>
      <c r="D353" s="26" t="n"/>
      <c r="E353" s="27" t="n"/>
      <c r="F353" s="28" t="n"/>
      <c r="G353" s="29">
        <f>IF(OR(C353="",D353=""),"",IF(C353="Buy",-(D353*E353+F353),D353*E353-F353))</f>
        <v/>
      </c>
      <c r="H353" s="30">
        <f>IF(OR(D353="",E353="",D353*E353=0),"",F353/(D353*E353))</f>
        <v/>
      </c>
      <c r="I353" s="26" t="n"/>
      <c r="J353" s="26" t="n"/>
    </row>
    <row r="354">
      <c r="A354" s="25" t="n"/>
      <c r="B354" s="26" t="n"/>
      <c r="C354" s="26" t="n"/>
      <c r="D354" s="26" t="n"/>
      <c r="E354" s="27" t="n"/>
      <c r="F354" s="28" t="n"/>
      <c r="G354" s="29">
        <f>IF(OR(C354="",D354=""),"",IF(C354="Buy",-(D354*E354+F354),D354*E354-F354))</f>
        <v/>
      </c>
      <c r="H354" s="30">
        <f>IF(OR(D354="",E354="",D354*E354=0),"",F354/(D354*E354))</f>
        <v/>
      </c>
      <c r="I354" s="26" t="n"/>
      <c r="J354" s="26" t="n"/>
    </row>
    <row r="355">
      <c r="A355" s="25" t="n"/>
      <c r="B355" s="26" t="n"/>
      <c r="C355" s="26" t="n"/>
      <c r="D355" s="26" t="n"/>
      <c r="E355" s="27" t="n"/>
      <c r="F355" s="28" t="n"/>
      <c r="G355" s="29">
        <f>IF(OR(C355="",D355=""),"",IF(C355="Buy",-(D355*E355+F355),D355*E355-F355))</f>
        <v/>
      </c>
      <c r="H355" s="30">
        <f>IF(OR(D355="",E355="",D355*E355=0),"",F355/(D355*E355))</f>
        <v/>
      </c>
      <c r="I355" s="26" t="n"/>
      <c r="J355" s="26" t="n"/>
    </row>
    <row r="356">
      <c r="A356" s="25" t="n"/>
      <c r="B356" s="26" t="n"/>
      <c r="C356" s="26" t="n"/>
      <c r="D356" s="26" t="n"/>
      <c r="E356" s="27" t="n"/>
      <c r="F356" s="28" t="n"/>
      <c r="G356" s="29">
        <f>IF(OR(C356="",D356=""),"",IF(C356="Buy",-(D356*E356+F356),D356*E356-F356))</f>
        <v/>
      </c>
      <c r="H356" s="30">
        <f>IF(OR(D356="",E356="",D356*E356=0),"",F356/(D356*E356))</f>
        <v/>
      </c>
      <c r="I356" s="26" t="n"/>
      <c r="J356" s="26" t="n"/>
    </row>
    <row r="357">
      <c r="A357" s="25" t="n"/>
      <c r="B357" s="26" t="n"/>
      <c r="C357" s="26" t="n"/>
      <c r="D357" s="26" t="n"/>
      <c r="E357" s="27" t="n"/>
      <c r="F357" s="28" t="n"/>
      <c r="G357" s="29">
        <f>IF(OR(C357="",D357=""),"",IF(C357="Buy",-(D357*E357+F357),D357*E357-F357))</f>
        <v/>
      </c>
      <c r="H357" s="30">
        <f>IF(OR(D357="",E357="",D357*E357=0),"",F357/(D357*E357))</f>
        <v/>
      </c>
      <c r="I357" s="26" t="n"/>
      <c r="J357" s="26" t="n"/>
    </row>
    <row r="358">
      <c r="A358" s="25" t="n"/>
      <c r="B358" s="26" t="n"/>
      <c r="C358" s="26" t="n"/>
      <c r="D358" s="26" t="n"/>
      <c r="E358" s="27" t="n"/>
      <c r="F358" s="28" t="n"/>
      <c r="G358" s="29">
        <f>IF(OR(C358="",D358=""),"",IF(C358="Buy",-(D358*E358+F358),D358*E358-F358))</f>
        <v/>
      </c>
      <c r="H358" s="30">
        <f>IF(OR(D358="",E358="",D358*E358=0),"",F358/(D358*E358))</f>
        <v/>
      </c>
      <c r="I358" s="26" t="n"/>
      <c r="J358" s="26" t="n"/>
    </row>
    <row r="359">
      <c r="A359" s="25" t="n"/>
      <c r="B359" s="26" t="n"/>
      <c r="C359" s="26" t="n"/>
      <c r="D359" s="26" t="n"/>
      <c r="E359" s="27" t="n"/>
      <c r="F359" s="28" t="n"/>
      <c r="G359" s="29">
        <f>IF(OR(C359="",D359=""),"",IF(C359="Buy",-(D359*E359+F359),D359*E359-F359))</f>
        <v/>
      </c>
      <c r="H359" s="30">
        <f>IF(OR(D359="",E359="",D359*E359=0),"",F359/(D359*E359))</f>
        <v/>
      </c>
      <c r="I359" s="26" t="n"/>
      <c r="J359" s="26" t="n"/>
    </row>
    <row r="360">
      <c r="A360" s="25" t="n"/>
      <c r="B360" s="26" t="n"/>
      <c r="C360" s="26" t="n"/>
      <c r="D360" s="26" t="n"/>
      <c r="E360" s="27" t="n"/>
      <c r="F360" s="28" t="n"/>
      <c r="G360" s="29">
        <f>IF(OR(C360="",D360=""),"",IF(C360="Buy",-(D360*E360+F360),D360*E360-F360))</f>
        <v/>
      </c>
      <c r="H360" s="30">
        <f>IF(OR(D360="",E360="",D360*E360=0),"",F360/(D360*E360))</f>
        <v/>
      </c>
      <c r="I360" s="26" t="n"/>
      <c r="J360" s="26" t="n"/>
    </row>
    <row r="361">
      <c r="A361" s="25" t="n"/>
      <c r="B361" s="26" t="n"/>
      <c r="C361" s="26" t="n"/>
      <c r="D361" s="26" t="n"/>
      <c r="E361" s="27" t="n"/>
      <c r="F361" s="28" t="n"/>
      <c r="G361" s="29">
        <f>IF(OR(C361="",D361=""),"",IF(C361="Buy",-(D361*E361+F361),D361*E361-F361))</f>
        <v/>
      </c>
      <c r="H361" s="30">
        <f>IF(OR(D361="",E361="",D361*E361=0),"",F361/(D361*E361))</f>
        <v/>
      </c>
      <c r="I361" s="26" t="n"/>
      <c r="J361" s="26" t="n"/>
    </row>
    <row r="362">
      <c r="A362" s="25" t="n"/>
      <c r="B362" s="26" t="n"/>
      <c r="C362" s="26" t="n"/>
      <c r="D362" s="26" t="n"/>
      <c r="E362" s="27" t="n"/>
      <c r="F362" s="28" t="n"/>
      <c r="G362" s="29">
        <f>IF(OR(C362="",D362=""),"",IF(C362="Buy",-(D362*E362+F362),D362*E362-F362))</f>
        <v/>
      </c>
      <c r="H362" s="30">
        <f>IF(OR(D362="",E362="",D362*E362=0),"",F362/(D362*E362))</f>
        <v/>
      </c>
      <c r="I362" s="26" t="n"/>
      <c r="J362" s="26" t="n"/>
    </row>
    <row r="363">
      <c r="A363" s="25" t="n"/>
      <c r="B363" s="26" t="n"/>
      <c r="C363" s="26" t="n"/>
      <c r="D363" s="26" t="n"/>
      <c r="E363" s="27" t="n"/>
      <c r="F363" s="28" t="n"/>
      <c r="G363" s="29">
        <f>IF(OR(C363="",D363=""),"",IF(C363="Buy",-(D363*E363+F363),D363*E363-F363))</f>
        <v/>
      </c>
      <c r="H363" s="30">
        <f>IF(OR(D363="",E363="",D363*E363=0),"",F363/(D363*E363))</f>
        <v/>
      </c>
      <c r="I363" s="26" t="n"/>
      <c r="J363" s="26" t="n"/>
    </row>
    <row r="364">
      <c r="A364" s="25" t="n"/>
      <c r="B364" s="26" t="n"/>
      <c r="C364" s="26" t="n"/>
      <c r="D364" s="26" t="n"/>
      <c r="E364" s="27" t="n"/>
      <c r="F364" s="28" t="n"/>
      <c r="G364" s="29">
        <f>IF(OR(C364="",D364=""),"",IF(C364="Buy",-(D364*E364+F364),D364*E364-F364))</f>
        <v/>
      </c>
      <c r="H364" s="30">
        <f>IF(OR(D364="",E364="",D364*E364=0),"",F364/(D364*E364))</f>
        <v/>
      </c>
      <c r="I364" s="26" t="n"/>
      <c r="J364" s="26" t="n"/>
    </row>
    <row r="365">
      <c r="A365" s="25" t="n"/>
      <c r="B365" s="26" t="n"/>
      <c r="C365" s="26" t="n"/>
      <c r="D365" s="26" t="n"/>
      <c r="E365" s="27" t="n"/>
      <c r="F365" s="28" t="n"/>
      <c r="G365" s="29">
        <f>IF(OR(C365="",D365=""),"",IF(C365="Buy",-(D365*E365+F365),D365*E365-F365))</f>
        <v/>
      </c>
      <c r="H365" s="30">
        <f>IF(OR(D365="",E365="",D365*E365=0),"",F365/(D365*E365))</f>
        <v/>
      </c>
      <c r="I365" s="26" t="n"/>
      <c r="J365" s="26" t="n"/>
    </row>
    <row r="366">
      <c r="A366" s="25" t="n"/>
      <c r="B366" s="26" t="n"/>
      <c r="C366" s="26" t="n"/>
      <c r="D366" s="26" t="n"/>
      <c r="E366" s="27" t="n"/>
      <c r="F366" s="28" t="n"/>
      <c r="G366" s="29">
        <f>IF(OR(C366="",D366=""),"",IF(C366="Buy",-(D366*E366+F366),D366*E366-F366))</f>
        <v/>
      </c>
      <c r="H366" s="30">
        <f>IF(OR(D366="",E366="",D366*E366=0),"",F366/(D366*E366))</f>
        <v/>
      </c>
      <c r="I366" s="26" t="n"/>
      <c r="J366" s="26" t="n"/>
    </row>
    <row r="367">
      <c r="A367" s="25" t="n"/>
      <c r="B367" s="26" t="n"/>
      <c r="C367" s="26" t="n"/>
      <c r="D367" s="26" t="n"/>
      <c r="E367" s="27" t="n"/>
      <c r="F367" s="28" t="n"/>
      <c r="G367" s="29">
        <f>IF(OR(C367="",D367=""),"",IF(C367="Buy",-(D367*E367+F367),D367*E367-F367))</f>
        <v/>
      </c>
      <c r="H367" s="30">
        <f>IF(OR(D367="",E367="",D367*E367=0),"",F367/(D367*E367))</f>
        <v/>
      </c>
      <c r="I367" s="26" t="n"/>
      <c r="J367" s="26" t="n"/>
    </row>
    <row r="368">
      <c r="A368" s="25" t="n"/>
      <c r="B368" s="26" t="n"/>
      <c r="C368" s="26" t="n"/>
      <c r="D368" s="26" t="n"/>
      <c r="E368" s="27" t="n"/>
      <c r="F368" s="28" t="n"/>
      <c r="G368" s="29">
        <f>IF(OR(C368="",D368=""),"",IF(C368="Buy",-(D368*E368+F368),D368*E368-F368))</f>
        <v/>
      </c>
      <c r="H368" s="30">
        <f>IF(OR(D368="",E368="",D368*E368=0),"",F368/(D368*E368))</f>
        <v/>
      </c>
      <c r="I368" s="26" t="n"/>
      <c r="J368" s="26" t="n"/>
    </row>
    <row r="369">
      <c r="A369" s="25" t="n"/>
      <c r="B369" s="26" t="n"/>
      <c r="C369" s="26" t="n"/>
      <c r="D369" s="26" t="n"/>
      <c r="E369" s="27" t="n"/>
      <c r="F369" s="28" t="n"/>
      <c r="G369" s="29">
        <f>IF(OR(C369="",D369=""),"",IF(C369="Buy",-(D369*E369+F369),D369*E369-F369))</f>
        <v/>
      </c>
      <c r="H369" s="30">
        <f>IF(OR(D369="",E369="",D369*E369=0),"",F369/(D369*E369))</f>
        <v/>
      </c>
      <c r="I369" s="26" t="n"/>
      <c r="J369" s="26" t="n"/>
    </row>
    <row r="370">
      <c r="A370" s="25" t="n"/>
      <c r="B370" s="26" t="n"/>
      <c r="C370" s="26" t="n"/>
      <c r="D370" s="26" t="n"/>
      <c r="E370" s="27" t="n"/>
      <c r="F370" s="28" t="n"/>
      <c r="G370" s="29">
        <f>IF(OR(C370="",D370=""),"",IF(C370="Buy",-(D370*E370+F370),D370*E370-F370))</f>
        <v/>
      </c>
      <c r="H370" s="30">
        <f>IF(OR(D370="",E370="",D370*E370=0),"",F370/(D370*E370))</f>
        <v/>
      </c>
      <c r="I370" s="26" t="n"/>
      <c r="J370" s="26" t="n"/>
    </row>
    <row r="371">
      <c r="A371" s="25" t="n"/>
      <c r="B371" s="26" t="n"/>
      <c r="C371" s="26" t="n"/>
      <c r="D371" s="26" t="n"/>
      <c r="E371" s="27" t="n"/>
      <c r="F371" s="28" t="n"/>
      <c r="G371" s="29">
        <f>IF(OR(C371="",D371=""),"",IF(C371="Buy",-(D371*E371+F371),D371*E371-F371))</f>
        <v/>
      </c>
      <c r="H371" s="30">
        <f>IF(OR(D371="",E371="",D371*E371=0),"",F371/(D371*E371))</f>
        <v/>
      </c>
      <c r="I371" s="26" t="n"/>
      <c r="J371" s="26" t="n"/>
    </row>
    <row r="372">
      <c r="A372" s="25" t="n"/>
      <c r="B372" s="26" t="n"/>
      <c r="C372" s="26" t="n"/>
      <c r="D372" s="26" t="n"/>
      <c r="E372" s="27" t="n"/>
      <c r="F372" s="28" t="n"/>
      <c r="G372" s="29">
        <f>IF(OR(C372="",D372=""),"",IF(C372="Buy",-(D372*E372+F372),D372*E372-F372))</f>
        <v/>
      </c>
      <c r="H372" s="30">
        <f>IF(OR(D372="",E372="",D372*E372=0),"",F372/(D372*E372))</f>
        <v/>
      </c>
      <c r="I372" s="26" t="n"/>
      <c r="J372" s="26" t="n"/>
    </row>
    <row r="373">
      <c r="A373" s="25" t="n"/>
      <c r="B373" s="26" t="n"/>
      <c r="C373" s="26" t="n"/>
      <c r="D373" s="26" t="n"/>
      <c r="E373" s="27" t="n"/>
      <c r="F373" s="28" t="n"/>
      <c r="G373" s="29">
        <f>IF(OR(C373="",D373=""),"",IF(C373="Buy",-(D373*E373+F373),D373*E373-F373))</f>
        <v/>
      </c>
      <c r="H373" s="30">
        <f>IF(OR(D373="",E373="",D373*E373=0),"",F373/(D373*E373))</f>
        <v/>
      </c>
      <c r="I373" s="26" t="n"/>
      <c r="J373" s="26" t="n"/>
    </row>
    <row r="374">
      <c r="A374" s="25" t="n"/>
      <c r="B374" s="26" t="n"/>
      <c r="C374" s="26" t="n"/>
      <c r="D374" s="26" t="n"/>
      <c r="E374" s="27" t="n"/>
      <c r="F374" s="28" t="n"/>
      <c r="G374" s="29">
        <f>IF(OR(C374="",D374=""),"",IF(C374="Buy",-(D374*E374+F374),D374*E374-F374))</f>
        <v/>
      </c>
      <c r="H374" s="30">
        <f>IF(OR(D374="",E374="",D374*E374=0),"",F374/(D374*E374))</f>
        <v/>
      </c>
      <c r="I374" s="26" t="n"/>
      <c r="J374" s="26" t="n"/>
    </row>
    <row r="375">
      <c r="A375" s="25" t="n"/>
      <c r="B375" s="26" t="n"/>
      <c r="C375" s="26" t="n"/>
      <c r="D375" s="26" t="n"/>
      <c r="E375" s="27" t="n"/>
      <c r="F375" s="28" t="n"/>
      <c r="G375" s="29">
        <f>IF(OR(C375="",D375=""),"",IF(C375="Buy",-(D375*E375+F375),D375*E375-F375))</f>
        <v/>
      </c>
      <c r="H375" s="30">
        <f>IF(OR(D375="",E375="",D375*E375=0),"",F375/(D375*E375))</f>
        <v/>
      </c>
      <c r="I375" s="26" t="n"/>
      <c r="J375" s="26" t="n"/>
    </row>
    <row r="376">
      <c r="A376" s="25" t="n"/>
      <c r="B376" s="26" t="n"/>
      <c r="C376" s="26" t="n"/>
      <c r="D376" s="26" t="n"/>
      <c r="E376" s="27" t="n"/>
      <c r="F376" s="28" t="n"/>
      <c r="G376" s="29">
        <f>IF(OR(C376="",D376=""),"",IF(C376="Buy",-(D376*E376+F376),D376*E376-F376))</f>
        <v/>
      </c>
      <c r="H376" s="30">
        <f>IF(OR(D376="",E376="",D376*E376=0),"",F376/(D376*E376))</f>
        <v/>
      </c>
      <c r="I376" s="26" t="n"/>
      <c r="J376" s="26" t="n"/>
    </row>
    <row r="377">
      <c r="A377" s="25" t="n"/>
      <c r="B377" s="26" t="n"/>
      <c r="C377" s="26" t="n"/>
      <c r="D377" s="26" t="n"/>
      <c r="E377" s="27" t="n"/>
      <c r="F377" s="28" t="n"/>
      <c r="G377" s="29">
        <f>IF(OR(C377="",D377=""),"",IF(C377="Buy",-(D377*E377+F377),D377*E377-F377))</f>
        <v/>
      </c>
      <c r="H377" s="30">
        <f>IF(OR(D377="",E377="",D377*E377=0),"",F377/(D377*E377))</f>
        <v/>
      </c>
      <c r="I377" s="26" t="n"/>
      <c r="J377" s="26" t="n"/>
    </row>
    <row r="378">
      <c r="A378" s="25" t="n"/>
      <c r="B378" s="26" t="n"/>
      <c r="C378" s="26" t="n"/>
      <c r="D378" s="26" t="n"/>
      <c r="E378" s="27" t="n"/>
      <c r="F378" s="28" t="n"/>
      <c r="G378" s="29">
        <f>IF(OR(C378="",D378=""),"",IF(C378="Buy",-(D378*E378+F378),D378*E378-F378))</f>
        <v/>
      </c>
      <c r="H378" s="30">
        <f>IF(OR(D378="",E378="",D378*E378=0),"",F378/(D378*E378))</f>
        <v/>
      </c>
      <c r="I378" s="26" t="n"/>
      <c r="J378" s="26" t="n"/>
    </row>
    <row r="379">
      <c r="A379" s="25" t="n"/>
      <c r="B379" s="26" t="n"/>
      <c r="C379" s="26" t="n"/>
      <c r="D379" s="26" t="n"/>
      <c r="E379" s="27" t="n"/>
      <c r="F379" s="28" t="n"/>
      <c r="G379" s="29">
        <f>IF(OR(C379="",D379=""),"",IF(C379="Buy",-(D379*E379+F379),D379*E379-F379))</f>
        <v/>
      </c>
      <c r="H379" s="30">
        <f>IF(OR(D379="",E379="",D379*E379=0),"",F379/(D379*E379))</f>
        <v/>
      </c>
      <c r="I379" s="26" t="n"/>
      <c r="J379" s="26" t="n"/>
    </row>
    <row r="380">
      <c r="A380" s="25" t="n"/>
      <c r="B380" s="26" t="n"/>
      <c r="C380" s="26" t="n"/>
      <c r="D380" s="26" t="n"/>
      <c r="E380" s="27" t="n"/>
      <c r="F380" s="28" t="n"/>
      <c r="G380" s="29">
        <f>IF(OR(C380="",D380=""),"",IF(C380="Buy",-(D380*E380+F380),D380*E380-F380))</f>
        <v/>
      </c>
      <c r="H380" s="30">
        <f>IF(OR(D380="",E380="",D380*E380=0),"",F380/(D380*E380))</f>
        <v/>
      </c>
      <c r="I380" s="26" t="n"/>
      <c r="J380" s="26" t="n"/>
    </row>
    <row r="381">
      <c r="A381" s="25" t="n"/>
      <c r="B381" s="26" t="n"/>
      <c r="C381" s="26" t="n"/>
      <c r="D381" s="26" t="n"/>
      <c r="E381" s="27" t="n"/>
      <c r="F381" s="28" t="n"/>
      <c r="G381" s="29">
        <f>IF(OR(C381="",D381=""),"",IF(C381="Buy",-(D381*E381+F381),D381*E381-F381))</f>
        <v/>
      </c>
      <c r="H381" s="30">
        <f>IF(OR(D381="",E381="",D381*E381=0),"",F381/(D381*E381))</f>
        <v/>
      </c>
      <c r="I381" s="26" t="n"/>
      <c r="J381" s="26" t="n"/>
    </row>
    <row r="382">
      <c r="A382" s="25" t="n"/>
      <c r="B382" s="26" t="n"/>
      <c r="C382" s="26" t="n"/>
      <c r="D382" s="26" t="n"/>
      <c r="E382" s="27" t="n"/>
      <c r="F382" s="28" t="n"/>
      <c r="G382" s="29">
        <f>IF(OR(C382="",D382=""),"",IF(C382="Buy",-(D382*E382+F382),D382*E382-F382))</f>
        <v/>
      </c>
      <c r="H382" s="30">
        <f>IF(OR(D382="",E382="",D382*E382=0),"",F382/(D382*E382))</f>
        <v/>
      </c>
      <c r="I382" s="26" t="n"/>
      <c r="J382" s="26" t="n"/>
    </row>
    <row r="383">
      <c r="A383" s="25" t="n"/>
      <c r="B383" s="26" t="n"/>
      <c r="C383" s="26" t="n"/>
      <c r="D383" s="26" t="n"/>
      <c r="E383" s="27" t="n"/>
      <c r="F383" s="28" t="n"/>
      <c r="G383" s="29">
        <f>IF(OR(C383="",D383=""),"",IF(C383="Buy",-(D383*E383+F383),D383*E383-F383))</f>
        <v/>
      </c>
      <c r="H383" s="30">
        <f>IF(OR(D383="",E383="",D383*E383=0),"",F383/(D383*E383))</f>
        <v/>
      </c>
      <c r="I383" s="26" t="n"/>
      <c r="J383" s="26" t="n"/>
    </row>
    <row r="384">
      <c r="A384" s="25" t="n"/>
      <c r="B384" s="26" t="n"/>
      <c r="C384" s="26" t="n"/>
      <c r="D384" s="26" t="n"/>
      <c r="E384" s="27" t="n"/>
      <c r="F384" s="28" t="n"/>
      <c r="G384" s="29">
        <f>IF(OR(C384="",D384=""),"",IF(C384="Buy",-(D384*E384+F384),D384*E384-F384))</f>
        <v/>
      </c>
      <c r="H384" s="30">
        <f>IF(OR(D384="",E384="",D384*E384=0),"",F384/(D384*E384))</f>
        <v/>
      </c>
      <c r="I384" s="26" t="n"/>
      <c r="J384" s="26" t="n"/>
    </row>
    <row r="385">
      <c r="A385" s="25" t="n"/>
      <c r="B385" s="26" t="n"/>
      <c r="C385" s="26" t="n"/>
      <c r="D385" s="26" t="n"/>
      <c r="E385" s="27" t="n"/>
      <c r="F385" s="28" t="n"/>
      <c r="G385" s="29">
        <f>IF(OR(C385="",D385=""),"",IF(C385="Buy",-(D385*E385+F385),D385*E385-F385))</f>
        <v/>
      </c>
      <c r="H385" s="30">
        <f>IF(OR(D385="",E385="",D385*E385=0),"",F385/(D385*E385))</f>
        <v/>
      </c>
      <c r="I385" s="26" t="n"/>
      <c r="J385" s="26" t="n"/>
    </row>
    <row r="386">
      <c r="A386" s="25" t="n"/>
      <c r="B386" s="26" t="n"/>
      <c r="C386" s="26" t="n"/>
      <c r="D386" s="26" t="n"/>
      <c r="E386" s="27" t="n"/>
      <c r="F386" s="28" t="n"/>
      <c r="G386" s="29">
        <f>IF(OR(C386="",D386=""),"",IF(C386="Buy",-(D386*E386+F386),D386*E386-F386))</f>
        <v/>
      </c>
      <c r="H386" s="30">
        <f>IF(OR(D386="",E386="",D386*E386=0),"",F386/(D386*E386))</f>
        <v/>
      </c>
      <c r="I386" s="26" t="n"/>
      <c r="J386" s="26" t="n"/>
    </row>
    <row r="387">
      <c r="A387" s="25" t="n"/>
      <c r="B387" s="26" t="n"/>
      <c r="C387" s="26" t="n"/>
      <c r="D387" s="26" t="n"/>
      <c r="E387" s="27" t="n"/>
      <c r="F387" s="28" t="n"/>
      <c r="G387" s="29">
        <f>IF(OR(C387="",D387=""),"",IF(C387="Buy",-(D387*E387+F387),D387*E387-F387))</f>
        <v/>
      </c>
      <c r="H387" s="30">
        <f>IF(OR(D387="",E387="",D387*E387=0),"",F387/(D387*E387))</f>
        <v/>
      </c>
      <c r="I387" s="26" t="n"/>
      <c r="J387" s="26" t="n"/>
    </row>
    <row r="388">
      <c r="A388" s="25" t="n"/>
      <c r="B388" s="26" t="n"/>
      <c r="C388" s="26" t="n"/>
      <c r="D388" s="26" t="n"/>
      <c r="E388" s="27" t="n"/>
      <c r="F388" s="28" t="n"/>
      <c r="G388" s="29">
        <f>IF(OR(C388="",D388=""),"",IF(C388="Buy",-(D388*E388+F388),D388*E388-F388))</f>
        <v/>
      </c>
      <c r="H388" s="30">
        <f>IF(OR(D388="",E388="",D388*E388=0),"",F388/(D388*E388))</f>
        <v/>
      </c>
      <c r="I388" s="26" t="n"/>
      <c r="J388" s="26" t="n"/>
    </row>
    <row r="389">
      <c r="A389" s="25" t="n"/>
      <c r="B389" s="26" t="n"/>
      <c r="C389" s="26" t="n"/>
      <c r="D389" s="26" t="n"/>
      <c r="E389" s="27" t="n"/>
      <c r="F389" s="28" t="n"/>
      <c r="G389" s="29">
        <f>IF(OR(C389="",D389=""),"",IF(C389="Buy",-(D389*E389+F389),D389*E389-F389))</f>
        <v/>
      </c>
      <c r="H389" s="30">
        <f>IF(OR(D389="",E389="",D389*E389=0),"",F389/(D389*E389))</f>
        <v/>
      </c>
      <c r="I389" s="26" t="n"/>
      <c r="J389" s="26" t="n"/>
    </row>
    <row r="390">
      <c r="A390" s="25" t="n"/>
      <c r="B390" s="26" t="n"/>
      <c r="C390" s="26" t="n"/>
      <c r="D390" s="26" t="n"/>
      <c r="E390" s="27" t="n"/>
      <c r="F390" s="28" t="n"/>
      <c r="G390" s="29">
        <f>IF(OR(C390="",D390=""),"",IF(C390="Buy",-(D390*E390+F390),D390*E390-F390))</f>
        <v/>
      </c>
      <c r="H390" s="30">
        <f>IF(OR(D390="",E390="",D390*E390=0),"",F390/(D390*E390))</f>
        <v/>
      </c>
      <c r="I390" s="26" t="n"/>
      <c r="J390" s="26" t="n"/>
    </row>
    <row r="391">
      <c r="A391" s="25" t="n"/>
      <c r="B391" s="26" t="n"/>
      <c r="C391" s="26" t="n"/>
      <c r="D391" s="26" t="n"/>
      <c r="E391" s="27" t="n"/>
      <c r="F391" s="28" t="n"/>
      <c r="G391" s="29">
        <f>IF(OR(C391="",D391=""),"",IF(C391="Buy",-(D391*E391+F391),D391*E391-F391))</f>
        <v/>
      </c>
      <c r="H391" s="30">
        <f>IF(OR(D391="",E391="",D391*E391=0),"",F391/(D391*E391))</f>
        <v/>
      </c>
      <c r="I391" s="26" t="n"/>
      <c r="J391" s="26" t="n"/>
    </row>
    <row r="392">
      <c r="A392" s="25" t="n"/>
      <c r="B392" s="26" t="n"/>
      <c r="C392" s="26" t="n"/>
      <c r="D392" s="26" t="n"/>
      <c r="E392" s="27" t="n"/>
      <c r="F392" s="28" t="n"/>
      <c r="G392" s="29">
        <f>IF(OR(C392="",D392=""),"",IF(C392="Buy",-(D392*E392+F392),D392*E392-F392))</f>
        <v/>
      </c>
      <c r="H392" s="30">
        <f>IF(OR(D392="",E392="",D392*E392=0),"",F392/(D392*E392))</f>
        <v/>
      </c>
      <c r="I392" s="26" t="n"/>
      <c r="J392" s="26" t="n"/>
    </row>
    <row r="393">
      <c r="A393" s="25" t="n"/>
      <c r="B393" s="26" t="n"/>
      <c r="C393" s="26" t="n"/>
      <c r="D393" s="26" t="n"/>
      <c r="E393" s="27" t="n"/>
      <c r="F393" s="28" t="n"/>
      <c r="G393" s="29">
        <f>IF(OR(C393="",D393=""),"",IF(C393="Buy",-(D393*E393+F393),D393*E393-F393))</f>
        <v/>
      </c>
      <c r="H393" s="30">
        <f>IF(OR(D393="",E393="",D393*E393=0),"",F393/(D393*E393))</f>
        <v/>
      </c>
      <c r="I393" s="26" t="n"/>
      <c r="J393" s="26" t="n"/>
    </row>
    <row r="394">
      <c r="A394" s="25" t="n"/>
      <c r="B394" s="26" t="n"/>
      <c r="C394" s="26" t="n"/>
      <c r="D394" s="26" t="n"/>
      <c r="E394" s="27" t="n"/>
      <c r="F394" s="28" t="n"/>
      <c r="G394" s="29">
        <f>IF(OR(C394="",D394=""),"",IF(C394="Buy",-(D394*E394+F394),D394*E394-F394))</f>
        <v/>
      </c>
      <c r="H394" s="30">
        <f>IF(OR(D394="",E394="",D394*E394=0),"",F394/(D394*E394))</f>
        <v/>
      </c>
      <c r="I394" s="26" t="n"/>
      <c r="J394" s="26" t="n"/>
    </row>
    <row r="395">
      <c r="A395" s="25" t="n"/>
      <c r="B395" s="26" t="n"/>
      <c r="C395" s="26" t="n"/>
      <c r="D395" s="26" t="n"/>
      <c r="E395" s="27" t="n"/>
      <c r="F395" s="28" t="n"/>
      <c r="G395" s="29">
        <f>IF(OR(C395="",D395=""),"",IF(C395="Buy",-(D395*E395+F395),D395*E395-F395))</f>
        <v/>
      </c>
      <c r="H395" s="30">
        <f>IF(OR(D395="",E395="",D395*E395=0),"",F395/(D395*E395))</f>
        <v/>
      </c>
      <c r="I395" s="26" t="n"/>
      <c r="J395" s="26" t="n"/>
    </row>
    <row r="396">
      <c r="A396" s="25" t="n"/>
      <c r="B396" s="26" t="n"/>
      <c r="C396" s="26" t="n"/>
      <c r="D396" s="26" t="n"/>
      <c r="E396" s="27" t="n"/>
      <c r="F396" s="28" t="n"/>
      <c r="G396" s="29">
        <f>IF(OR(C396="",D396=""),"",IF(C396="Buy",-(D396*E396+F396),D396*E396-F396))</f>
        <v/>
      </c>
      <c r="H396" s="30">
        <f>IF(OR(D396="",E396="",D396*E396=0),"",F396/(D396*E396))</f>
        <v/>
      </c>
      <c r="I396" s="26" t="n"/>
      <c r="J396" s="26" t="n"/>
    </row>
    <row r="397">
      <c r="A397" s="25" t="n"/>
      <c r="B397" s="26" t="n"/>
      <c r="C397" s="26" t="n"/>
      <c r="D397" s="26" t="n"/>
      <c r="E397" s="27" t="n"/>
      <c r="F397" s="28" t="n"/>
      <c r="G397" s="29">
        <f>IF(OR(C397="",D397=""),"",IF(C397="Buy",-(D397*E397+F397),D397*E397-F397))</f>
        <v/>
      </c>
      <c r="H397" s="30">
        <f>IF(OR(D397="",E397="",D397*E397=0),"",F397/(D397*E397))</f>
        <v/>
      </c>
      <c r="I397" s="26" t="n"/>
      <c r="J397" s="26" t="n"/>
    </row>
    <row r="398">
      <c r="A398" s="25" t="n"/>
      <c r="B398" s="26" t="n"/>
      <c r="C398" s="26" t="n"/>
      <c r="D398" s="26" t="n"/>
      <c r="E398" s="27" t="n"/>
      <c r="F398" s="28" t="n"/>
      <c r="G398" s="29">
        <f>IF(OR(C398="",D398=""),"",IF(C398="Buy",-(D398*E398+F398),D398*E398-F398))</f>
        <v/>
      </c>
      <c r="H398" s="30">
        <f>IF(OR(D398="",E398="",D398*E398=0),"",F398/(D398*E398))</f>
        <v/>
      </c>
      <c r="I398" s="26" t="n"/>
      <c r="J398" s="26" t="n"/>
    </row>
    <row r="399">
      <c r="A399" s="25" t="n"/>
      <c r="B399" s="26" t="n"/>
      <c r="C399" s="26" t="n"/>
      <c r="D399" s="26" t="n"/>
      <c r="E399" s="27" t="n"/>
      <c r="F399" s="28" t="n"/>
      <c r="G399" s="29">
        <f>IF(OR(C399="",D399=""),"",IF(C399="Buy",-(D399*E399+F399),D399*E399-F399))</f>
        <v/>
      </c>
      <c r="H399" s="30">
        <f>IF(OR(D399="",E399="",D399*E399=0),"",F399/(D399*E399))</f>
        <v/>
      </c>
      <c r="I399" s="26" t="n"/>
      <c r="J399" s="26" t="n"/>
    </row>
    <row r="400">
      <c r="A400" s="25" t="n"/>
      <c r="B400" s="26" t="n"/>
      <c r="C400" s="26" t="n"/>
      <c r="D400" s="26" t="n"/>
      <c r="E400" s="27" t="n"/>
      <c r="F400" s="28" t="n"/>
      <c r="G400" s="29">
        <f>IF(OR(C400="",D400=""),"",IF(C400="Buy",-(D400*E400+F400),D400*E400-F400))</f>
        <v/>
      </c>
      <c r="H400" s="30">
        <f>IF(OR(D400="",E400="",D400*E400=0),"",F400/(D400*E400))</f>
        <v/>
      </c>
      <c r="I400" s="26" t="n"/>
      <c r="J400" s="26" t="n"/>
    </row>
    <row r="401">
      <c r="A401" s="25" t="n"/>
      <c r="B401" s="26" t="n"/>
      <c r="C401" s="26" t="n"/>
      <c r="D401" s="26" t="n"/>
      <c r="E401" s="27" t="n"/>
      <c r="F401" s="28" t="n"/>
      <c r="G401" s="29">
        <f>IF(OR(C401="",D401=""),"",IF(C401="Buy",-(D401*E401+F401),D401*E401-F401))</f>
        <v/>
      </c>
      <c r="H401" s="30">
        <f>IF(OR(D401="",E401="",D401*E401=0),"",F401/(D401*E401))</f>
        <v/>
      </c>
      <c r="I401" s="26" t="n"/>
      <c r="J401" s="26" t="n"/>
    </row>
    <row r="402">
      <c r="A402" s="25" t="n"/>
      <c r="B402" s="26" t="n"/>
      <c r="C402" s="26" t="n"/>
      <c r="D402" s="26" t="n"/>
      <c r="E402" s="27" t="n"/>
      <c r="F402" s="28" t="n"/>
      <c r="G402" s="29">
        <f>IF(OR(C402="",D402=""),"",IF(C402="Buy",-(D402*E402+F402),D402*E402-F402))</f>
        <v/>
      </c>
      <c r="H402" s="30">
        <f>IF(OR(D402="",E402="",D402*E402=0),"",F402/(D402*E402))</f>
        <v/>
      </c>
      <c r="I402" s="26" t="n"/>
      <c r="J402" s="26" t="n"/>
    </row>
    <row r="403">
      <c r="A403" s="25" t="n"/>
      <c r="B403" s="26" t="n"/>
      <c r="C403" s="26" t="n"/>
      <c r="D403" s="26" t="n"/>
      <c r="E403" s="27" t="n"/>
      <c r="F403" s="28" t="n"/>
      <c r="G403" s="29">
        <f>IF(OR(C403="",D403=""),"",IF(C403="Buy",-(D403*E403+F403),D403*E403-F403))</f>
        <v/>
      </c>
      <c r="H403" s="30">
        <f>IF(OR(D403="",E403="",D403*E403=0),"",F403/(D403*E403))</f>
        <v/>
      </c>
      <c r="I403" s="26" t="n"/>
      <c r="J403" s="26" t="n"/>
    </row>
    <row r="404">
      <c r="A404" s="25" t="n"/>
      <c r="B404" s="26" t="n"/>
      <c r="C404" s="26" t="n"/>
      <c r="D404" s="26" t="n"/>
      <c r="E404" s="27" t="n"/>
      <c r="F404" s="28" t="n"/>
      <c r="G404" s="29">
        <f>IF(OR(C404="",D404=""),"",IF(C404="Buy",-(D404*E404+F404),D404*E404-F404))</f>
        <v/>
      </c>
      <c r="H404" s="30">
        <f>IF(OR(D404="",E404="",D404*E404=0),"",F404/(D404*E404))</f>
        <v/>
      </c>
      <c r="I404" s="26" t="n"/>
      <c r="J404" s="26" t="n"/>
    </row>
    <row r="405">
      <c r="A405" s="25" t="n"/>
      <c r="B405" s="26" t="n"/>
      <c r="C405" s="26" t="n"/>
      <c r="D405" s="26" t="n"/>
      <c r="E405" s="27" t="n"/>
      <c r="F405" s="28" t="n"/>
      <c r="G405" s="29">
        <f>IF(OR(C405="",D405=""),"",IF(C405="Buy",-(D405*E405+F405),D405*E405-F405))</f>
        <v/>
      </c>
      <c r="H405" s="30">
        <f>IF(OR(D405="",E405="",D405*E405=0),"",F405/(D405*E405))</f>
        <v/>
      </c>
      <c r="I405" s="26" t="n"/>
      <c r="J405" s="26" t="n"/>
    </row>
    <row r="406">
      <c r="A406" s="25" t="n"/>
      <c r="B406" s="26" t="n"/>
      <c r="C406" s="26" t="n"/>
      <c r="D406" s="26" t="n"/>
      <c r="E406" s="27" t="n"/>
      <c r="F406" s="28" t="n"/>
      <c r="G406" s="29">
        <f>IF(OR(C406="",D406=""),"",IF(C406="Buy",-(D406*E406+F406),D406*E406-F406))</f>
        <v/>
      </c>
      <c r="H406" s="30">
        <f>IF(OR(D406="",E406="",D406*E406=0),"",F406/(D406*E406))</f>
        <v/>
      </c>
      <c r="I406" s="26" t="n"/>
      <c r="J406" s="26" t="n"/>
    </row>
    <row r="407">
      <c r="A407" s="25" t="n"/>
      <c r="B407" s="26" t="n"/>
      <c r="C407" s="26" t="n"/>
      <c r="D407" s="26" t="n"/>
      <c r="E407" s="27" t="n"/>
      <c r="F407" s="28" t="n"/>
      <c r="G407" s="29">
        <f>IF(OR(C407="",D407=""),"",IF(C407="Buy",-(D407*E407+F407),D407*E407-F407))</f>
        <v/>
      </c>
      <c r="H407" s="30">
        <f>IF(OR(D407="",E407="",D407*E407=0),"",F407/(D407*E407))</f>
        <v/>
      </c>
      <c r="I407" s="26" t="n"/>
      <c r="J407" s="26" t="n"/>
    </row>
    <row r="408">
      <c r="A408" s="25" t="n"/>
      <c r="B408" s="26" t="n"/>
      <c r="C408" s="26" t="n"/>
      <c r="D408" s="26" t="n"/>
      <c r="E408" s="27" t="n"/>
      <c r="F408" s="28" t="n"/>
      <c r="G408" s="29">
        <f>IF(OR(C408="",D408=""),"",IF(C408="Buy",-(D408*E408+F408),D408*E408-F408))</f>
        <v/>
      </c>
      <c r="H408" s="30">
        <f>IF(OR(D408="",E408="",D408*E408=0),"",F408/(D408*E408))</f>
        <v/>
      </c>
      <c r="I408" s="26" t="n"/>
      <c r="J408" s="26" t="n"/>
    </row>
    <row r="409">
      <c r="A409" s="25" t="n"/>
      <c r="B409" s="26" t="n"/>
      <c r="C409" s="26" t="n"/>
      <c r="D409" s="26" t="n"/>
      <c r="E409" s="27" t="n"/>
      <c r="F409" s="28" t="n"/>
      <c r="G409" s="29">
        <f>IF(OR(C409="",D409=""),"",IF(C409="Buy",-(D409*E409+F409),D409*E409-F409))</f>
        <v/>
      </c>
      <c r="H409" s="30">
        <f>IF(OR(D409="",E409="",D409*E409=0),"",F409/(D409*E409))</f>
        <v/>
      </c>
      <c r="I409" s="26" t="n"/>
      <c r="J409" s="26" t="n"/>
    </row>
    <row r="410">
      <c r="A410" s="25" t="n"/>
      <c r="B410" s="26" t="n"/>
      <c r="C410" s="26" t="n"/>
      <c r="D410" s="26" t="n"/>
      <c r="E410" s="27" t="n"/>
      <c r="F410" s="28" t="n"/>
      <c r="G410" s="29">
        <f>IF(OR(C410="",D410=""),"",IF(C410="Buy",-(D410*E410+F410),D410*E410-F410))</f>
        <v/>
      </c>
      <c r="H410" s="30">
        <f>IF(OR(D410="",E410="",D410*E410=0),"",F410/(D410*E410))</f>
        <v/>
      </c>
      <c r="I410" s="26" t="n"/>
      <c r="J410" s="26" t="n"/>
    </row>
    <row r="411">
      <c r="A411" s="25" t="n"/>
      <c r="B411" s="26" t="n"/>
      <c r="C411" s="26" t="n"/>
      <c r="D411" s="26" t="n"/>
      <c r="E411" s="27" t="n"/>
      <c r="F411" s="28" t="n"/>
      <c r="G411" s="29">
        <f>IF(OR(C411="",D411=""),"",IF(C411="Buy",-(D411*E411+F411),D411*E411-F411))</f>
        <v/>
      </c>
      <c r="H411" s="30">
        <f>IF(OR(D411="",E411="",D411*E411=0),"",F411/(D411*E411))</f>
        <v/>
      </c>
      <c r="I411" s="26" t="n"/>
      <c r="J411" s="26" t="n"/>
    </row>
    <row r="412">
      <c r="A412" s="25" t="n"/>
      <c r="B412" s="26" t="n"/>
      <c r="C412" s="26" t="n"/>
      <c r="D412" s="26" t="n"/>
      <c r="E412" s="27" t="n"/>
      <c r="F412" s="28" t="n"/>
      <c r="G412" s="29">
        <f>IF(OR(C412="",D412=""),"",IF(C412="Buy",-(D412*E412+F412),D412*E412-F412))</f>
        <v/>
      </c>
      <c r="H412" s="30">
        <f>IF(OR(D412="",E412="",D412*E412=0),"",F412/(D412*E412))</f>
        <v/>
      </c>
      <c r="I412" s="26" t="n"/>
      <c r="J412" s="26" t="n"/>
    </row>
    <row r="413">
      <c r="A413" s="25" t="n"/>
      <c r="B413" s="26" t="n"/>
      <c r="C413" s="26" t="n"/>
      <c r="D413" s="26" t="n"/>
      <c r="E413" s="27" t="n"/>
      <c r="F413" s="28" t="n"/>
      <c r="G413" s="29">
        <f>IF(OR(C413="",D413=""),"",IF(C413="Buy",-(D413*E413+F413),D413*E413-F413))</f>
        <v/>
      </c>
      <c r="H413" s="30">
        <f>IF(OR(D413="",E413="",D413*E413=0),"",F413/(D413*E413))</f>
        <v/>
      </c>
      <c r="I413" s="26" t="n"/>
      <c r="J413" s="26" t="n"/>
    </row>
    <row r="414">
      <c r="A414" s="25" t="n"/>
      <c r="B414" s="26" t="n"/>
      <c r="C414" s="26" t="n"/>
      <c r="D414" s="26" t="n"/>
      <c r="E414" s="27" t="n"/>
      <c r="F414" s="28" t="n"/>
      <c r="G414" s="29">
        <f>IF(OR(C414="",D414=""),"",IF(C414="Buy",-(D414*E414+F414),D414*E414-F414))</f>
        <v/>
      </c>
      <c r="H414" s="30">
        <f>IF(OR(D414="",E414="",D414*E414=0),"",F414/(D414*E414))</f>
        <v/>
      </c>
      <c r="I414" s="26" t="n"/>
      <c r="J414" s="26" t="n"/>
    </row>
    <row r="415">
      <c r="A415" s="25" t="n"/>
      <c r="B415" s="26" t="n"/>
      <c r="C415" s="26" t="n"/>
      <c r="D415" s="26" t="n"/>
      <c r="E415" s="27" t="n"/>
      <c r="F415" s="28" t="n"/>
      <c r="G415" s="29">
        <f>IF(OR(C415="",D415=""),"",IF(C415="Buy",-(D415*E415+F415),D415*E415-F415))</f>
        <v/>
      </c>
      <c r="H415" s="30">
        <f>IF(OR(D415="",E415="",D415*E415=0),"",F415/(D415*E415))</f>
        <v/>
      </c>
      <c r="I415" s="26" t="n"/>
      <c r="J415" s="26" t="n"/>
    </row>
    <row r="416">
      <c r="A416" s="25" t="n"/>
      <c r="B416" s="26" t="n"/>
      <c r="C416" s="26" t="n"/>
      <c r="D416" s="26" t="n"/>
      <c r="E416" s="27" t="n"/>
      <c r="F416" s="28" t="n"/>
      <c r="G416" s="29">
        <f>IF(OR(C416="",D416=""),"",IF(C416="Buy",-(D416*E416+F416),D416*E416-F416))</f>
        <v/>
      </c>
      <c r="H416" s="30">
        <f>IF(OR(D416="",E416="",D416*E416=0),"",F416/(D416*E416))</f>
        <v/>
      </c>
      <c r="I416" s="26" t="n"/>
      <c r="J416" s="26" t="n"/>
    </row>
    <row r="417">
      <c r="A417" s="25" t="n"/>
      <c r="B417" s="26" t="n"/>
      <c r="C417" s="26" t="n"/>
      <c r="D417" s="26" t="n"/>
      <c r="E417" s="27" t="n"/>
      <c r="F417" s="28" t="n"/>
      <c r="G417" s="29">
        <f>IF(OR(C417="",D417=""),"",IF(C417="Buy",-(D417*E417+F417),D417*E417-F417))</f>
        <v/>
      </c>
      <c r="H417" s="30">
        <f>IF(OR(D417="",E417="",D417*E417=0),"",F417/(D417*E417))</f>
        <v/>
      </c>
      <c r="I417" s="26" t="n"/>
      <c r="J417" s="26" t="n"/>
    </row>
    <row r="418">
      <c r="A418" s="25" t="n"/>
      <c r="B418" s="26" t="n"/>
      <c r="C418" s="26" t="n"/>
      <c r="D418" s="26" t="n"/>
      <c r="E418" s="27" t="n"/>
      <c r="F418" s="28" t="n"/>
      <c r="G418" s="29">
        <f>IF(OR(C418="",D418=""),"",IF(C418="Buy",-(D418*E418+F418),D418*E418-F418))</f>
        <v/>
      </c>
      <c r="H418" s="30">
        <f>IF(OR(D418="",E418="",D418*E418=0),"",F418/(D418*E418))</f>
        <v/>
      </c>
      <c r="I418" s="26" t="n"/>
      <c r="J418" s="26" t="n"/>
    </row>
    <row r="419">
      <c r="A419" s="25" t="n"/>
      <c r="B419" s="26" t="n"/>
      <c r="C419" s="26" t="n"/>
      <c r="D419" s="26" t="n"/>
      <c r="E419" s="27" t="n"/>
      <c r="F419" s="28" t="n"/>
      <c r="G419" s="29">
        <f>IF(OR(C419="",D419=""),"",IF(C419="Buy",-(D419*E419+F419),D419*E419-F419))</f>
        <v/>
      </c>
      <c r="H419" s="30">
        <f>IF(OR(D419="",E419="",D419*E419=0),"",F419/(D419*E419))</f>
        <v/>
      </c>
      <c r="I419" s="26" t="n"/>
      <c r="J419" s="26" t="n"/>
    </row>
    <row r="420">
      <c r="A420" s="25" t="n"/>
      <c r="B420" s="26" t="n"/>
      <c r="C420" s="26" t="n"/>
      <c r="D420" s="26" t="n"/>
      <c r="E420" s="27" t="n"/>
      <c r="F420" s="28" t="n"/>
      <c r="G420" s="29">
        <f>IF(OR(C420="",D420=""),"",IF(C420="Buy",-(D420*E420+F420),D420*E420-F420))</f>
        <v/>
      </c>
      <c r="H420" s="30">
        <f>IF(OR(D420="",E420="",D420*E420=0),"",F420/(D420*E420))</f>
        <v/>
      </c>
      <c r="I420" s="26" t="n"/>
      <c r="J420" s="26" t="n"/>
    </row>
    <row r="421">
      <c r="A421" s="25" t="n"/>
      <c r="B421" s="26" t="n"/>
      <c r="C421" s="26" t="n"/>
      <c r="D421" s="26" t="n"/>
      <c r="E421" s="27" t="n"/>
      <c r="F421" s="28" t="n"/>
      <c r="G421" s="29">
        <f>IF(OR(C421="",D421=""),"",IF(C421="Buy",-(D421*E421+F421),D421*E421-F421))</f>
        <v/>
      </c>
      <c r="H421" s="30">
        <f>IF(OR(D421="",E421="",D421*E421=0),"",F421/(D421*E421))</f>
        <v/>
      </c>
      <c r="I421" s="26" t="n"/>
      <c r="J421" s="26" t="n"/>
    </row>
    <row r="422">
      <c r="A422" s="25" t="n"/>
      <c r="B422" s="26" t="n"/>
      <c r="C422" s="26" t="n"/>
      <c r="D422" s="26" t="n"/>
      <c r="E422" s="27" t="n"/>
      <c r="F422" s="28" t="n"/>
      <c r="G422" s="29">
        <f>IF(OR(C422="",D422=""),"",IF(C422="Buy",-(D422*E422+F422),D422*E422-F422))</f>
        <v/>
      </c>
      <c r="H422" s="30">
        <f>IF(OR(D422="",E422="",D422*E422=0),"",F422/(D422*E422))</f>
        <v/>
      </c>
      <c r="I422" s="26" t="n"/>
      <c r="J422" s="26" t="n"/>
    </row>
    <row r="423">
      <c r="A423" s="25" t="n"/>
      <c r="B423" s="26" t="n"/>
      <c r="C423" s="26" t="n"/>
      <c r="D423" s="26" t="n"/>
      <c r="E423" s="27" t="n"/>
      <c r="F423" s="28" t="n"/>
      <c r="G423" s="29">
        <f>IF(OR(C423="",D423=""),"",IF(C423="Buy",-(D423*E423+F423),D423*E423-F423))</f>
        <v/>
      </c>
      <c r="H423" s="30">
        <f>IF(OR(D423="",E423="",D423*E423=0),"",F423/(D423*E423))</f>
        <v/>
      </c>
      <c r="I423" s="26" t="n"/>
      <c r="J423" s="26" t="n"/>
    </row>
    <row r="424">
      <c r="A424" s="25" t="n"/>
      <c r="B424" s="26" t="n"/>
      <c r="C424" s="26" t="n"/>
      <c r="D424" s="26" t="n"/>
      <c r="E424" s="27" t="n"/>
      <c r="F424" s="28" t="n"/>
      <c r="G424" s="29">
        <f>IF(OR(C424="",D424=""),"",IF(C424="Buy",-(D424*E424+F424),D424*E424-F424))</f>
        <v/>
      </c>
      <c r="H424" s="30">
        <f>IF(OR(D424="",E424="",D424*E424=0),"",F424/(D424*E424))</f>
        <v/>
      </c>
      <c r="I424" s="26" t="n"/>
      <c r="J424" s="26" t="n"/>
    </row>
    <row r="425">
      <c r="A425" s="25" t="n"/>
      <c r="B425" s="26" t="n"/>
      <c r="C425" s="26" t="n"/>
      <c r="D425" s="26" t="n"/>
      <c r="E425" s="27" t="n"/>
      <c r="F425" s="28" t="n"/>
      <c r="G425" s="29">
        <f>IF(OR(C425="",D425=""),"",IF(C425="Buy",-(D425*E425+F425),D425*E425-F425))</f>
        <v/>
      </c>
      <c r="H425" s="30">
        <f>IF(OR(D425="",E425="",D425*E425=0),"",F425/(D425*E425))</f>
        <v/>
      </c>
      <c r="I425" s="26" t="n"/>
      <c r="J425" s="26" t="n"/>
    </row>
    <row r="426">
      <c r="A426" s="25" t="n"/>
      <c r="B426" s="26" t="n"/>
      <c r="C426" s="26" t="n"/>
      <c r="D426" s="26" t="n"/>
      <c r="E426" s="27" t="n"/>
      <c r="F426" s="28" t="n"/>
      <c r="G426" s="29">
        <f>IF(OR(C426="",D426=""),"",IF(C426="Buy",-(D426*E426+F426),D426*E426-F426))</f>
        <v/>
      </c>
      <c r="H426" s="30">
        <f>IF(OR(D426="",E426="",D426*E426=0),"",F426/(D426*E426))</f>
        <v/>
      </c>
      <c r="I426" s="26" t="n"/>
      <c r="J426" s="26" t="n"/>
    </row>
    <row r="427">
      <c r="A427" s="25" t="n"/>
      <c r="B427" s="26" t="n"/>
      <c r="C427" s="26" t="n"/>
      <c r="D427" s="26" t="n"/>
      <c r="E427" s="27" t="n"/>
      <c r="F427" s="28" t="n"/>
      <c r="G427" s="29">
        <f>IF(OR(C427="",D427=""),"",IF(C427="Buy",-(D427*E427+F427),D427*E427-F427))</f>
        <v/>
      </c>
      <c r="H427" s="30">
        <f>IF(OR(D427="",E427="",D427*E427=0),"",F427/(D427*E427))</f>
        <v/>
      </c>
      <c r="I427" s="26" t="n"/>
      <c r="J427" s="26" t="n"/>
    </row>
    <row r="428">
      <c r="A428" s="25" t="n"/>
      <c r="B428" s="26" t="n"/>
      <c r="C428" s="26" t="n"/>
      <c r="D428" s="26" t="n"/>
      <c r="E428" s="27" t="n"/>
      <c r="F428" s="28" t="n"/>
      <c r="G428" s="29">
        <f>IF(OR(C428="",D428=""),"",IF(C428="Buy",-(D428*E428+F428),D428*E428-F428))</f>
        <v/>
      </c>
      <c r="H428" s="30">
        <f>IF(OR(D428="",E428="",D428*E428=0),"",F428/(D428*E428))</f>
        <v/>
      </c>
      <c r="I428" s="26" t="n"/>
      <c r="J428" s="26" t="n"/>
    </row>
    <row r="429">
      <c r="A429" s="25" t="n"/>
      <c r="B429" s="26" t="n"/>
      <c r="C429" s="26" t="n"/>
      <c r="D429" s="26" t="n"/>
      <c r="E429" s="27" t="n"/>
      <c r="F429" s="28" t="n"/>
      <c r="G429" s="29">
        <f>IF(OR(C429="",D429=""),"",IF(C429="Buy",-(D429*E429+F429),D429*E429-F429))</f>
        <v/>
      </c>
      <c r="H429" s="30">
        <f>IF(OR(D429="",E429="",D429*E429=0),"",F429/(D429*E429))</f>
        <v/>
      </c>
      <c r="I429" s="26" t="n"/>
      <c r="J429" s="26" t="n"/>
    </row>
    <row r="430">
      <c r="A430" s="25" t="n"/>
      <c r="B430" s="26" t="n"/>
      <c r="C430" s="26" t="n"/>
      <c r="D430" s="26" t="n"/>
      <c r="E430" s="27" t="n"/>
      <c r="F430" s="28" t="n"/>
      <c r="G430" s="29">
        <f>IF(OR(C430="",D430=""),"",IF(C430="Buy",-(D430*E430+F430),D430*E430-F430))</f>
        <v/>
      </c>
      <c r="H430" s="30">
        <f>IF(OR(D430="",E430="",D430*E430=0),"",F430/(D430*E430))</f>
        <v/>
      </c>
      <c r="I430" s="26" t="n"/>
      <c r="J430" s="26" t="n"/>
    </row>
    <row r="431">
      <c r="A431" s="25" t="n"/>
      <c r="B431" s="26" t="n"/>
      <c r="C431" s="26" t="n"/>
      <c r="D431" s="26" t="n"/>
      <c r="E431" s="27" t="n"/>
      <c r="F431" s="28" t="n"/>
      <c r="G431" s="29">
        <f>IF(OR(C431="",D431=""),"",IF(C431="Buy",-(D431*E431+F431),D431*E431-F431))</f>
        <v/>
      </c>
      <c r="H431" s="30">
        <f>IF(OR(D431="",E431="",D431*E431=0),"",F431/(D431*E431))</f>
        <v/>
      </c>
      <c r="I431" s="26" t="n"/>
      <c r="J431" s="26" t="n"/>
    </row>
    <row r="432">
      <c r="A432" s="25" t="n"/>
      <c r="B432" s="26" t="n"/>
      <c r="C432" s="26" t="n"/>
      <c r="D432" s="26" t="n"/>
      <c r="E432" s="27" t="n"/>
      <c r="F432" s="28" t="n"/>
      <c r="G432" s="29">
        <f>IF(OR(C432="",D432=""),"",IF(C432="Buy",-(D432*E432+F432),D432*E432-F432))</f>
        <v/>
      </c>
      <c r="H432" s="30">
        <f>IF(OR(D432="",E432="",D432*E432=0),"",F432/(D432*E432))</f>
        <v/>
      </c>
      <c r="I432" s="26" t="n"/>
      <c r="J432" s="26" t="n"/>
    </row>
    <row r="433">
      <c r="A433" s="25" t="n"/>
      <c r="B433" s="26" t="n"/>
      <c r="C433" s="26" t="n"/>
      <c r="D433" s="26" t="n"/>
      <c r="E433" s="27" t="n"/>
      <c r="F433" s="28" t="n"/>
      <c r="G433" s="29">
        <f>IF(OR(C433="",D433=""),"",IF(C433="Buy",-(D433*E433+F433),D433*E433-F433))</f>
        <v/>
      </c>
      <c r="H433" s="30">
        <f>IF(OR(D433="",E433="",D433*E433=0),"",F433/(D433*E433))</f>
        <v/>
      </c>
      <c r="I433" s="26" t="n"/>
      <c r="J433" s="26" t="n"/>
    </row>
    <row r="434">
      <c r="A434" s="25" t="n"/>
      <c r="B434" s="26" t="n"/>
      <c r="C434" s="26" t="n"/>
      <c r="D434" s="26" t="n"/>
      <c r="E434" s="27" t="n"/>
      <c r="F434" s="28" t="n"/>
      <c r="G434" s="29">
        <f>IF(OR(C434="",D434=""),"",IF(C434="Buy",-(D434*E434+F434),D434*E434-F434))</f>
        <v/>
      </c>
      <c r="H434" s="30">
        <f>IF(OR(D434="",E434="",D434*E434=0),"",F434/(D434*E434))</f>
        <v/>
      </c>
      <c r="I434" s="26" t="n"/>
      <c r="J434" s="26" t="n"/>
    </row>
    <row r="435">
      <c r="A435" s="25" t="n"/>
      <c r="B435" s="26" t="n"/>
      <c r="C435" s="26" t="n"/>
      <c r="D435" s="26" t="n"/>
      <c r="E435" s="27" t="n"/>
      <c r="F435" s="28" t="n"/>
      <c r="G435" s="29">
        <f>IF(OR(C435="",D435=""),"",IF(C435="Buy",-(D435*E435+F435),D435*E435-F435))</f>
        <v/>
      </c>
      <c r="H435" s="30">
        <f>IF(OR(D435="",E435="",D435*E435=0),"",F435/(D435*E435))</f>
        <v/>
      </c>
      <c r="I435" s="26" t="n"/>
      <c r="J435" s="26" t="n"/>
    </row>
    <row r="436">
      <c r="A436" s="25" t="n"/>
      <c r="B436" s="26" t="n"/>
      <c r="C436" s="26" t="n"/>
      <c r="D436" s="26" t="n"/>
      <c r="E436" s="27" t="n"/>
      <c r="F436" s="28" t="n"/>
      <c r="G436" s="29">
        <f>IF(OR(C436="",D436=""),"",IF(C436="Buy",-(D436*E436+F436),D436*E436-F436))</f>
        <v/>
      </c>
      <c r="H436" s="30">
        <f>IF(OR(D436="",E436="",D436*E436=0),"",F436/(D436*E436))</f>
        <v/>
      </c>
      <c r="I436" s="26" t="n"/>
      <c r="J436" s="26" t="n"/>
    </row>
    <row r="437">
      <c r="A437" s="25" t="n"/>
      <c r="B437" s="26" t="n"/>
      <c r="C437" s="26" t="n"/>
      <c r="D437" s="26" t="n"/>
      <c r="E437" s="27" t="n"/>
      <c r="F437" s="28" t="n"/>
      <c r="G437" s="29">
        <f>IF(OR(C437="",D437=""),"",IF(C437="Buy",-(D437*E437+F437),D437*E437-F437))</f>
        <v/>
      </c>
      <c r="H437" s="30">
        <f>IF(OR(D437="",E437="",D437*E437=0),"",F437/(D437*E437))</f>
        <v/>
      </c>
      <c r="I437" s="26" t="n"/>
      <c r="J437" s="26" t="n"/>
    </row>
    <row r="438">
      <c r="A438" s="25" t="n"/>
      <c r="B438" s="26" t="n"/>
      <c r="C438" s="26" t="n"/>
      <c r="D438" s="26" t="n"/>
      <c r="E438" s="27" t="n"/>
      <c r="F438" s="28" t="n"/>
      <c r="G438" s="29">
        <f>IF(OR(C438="",D438=""),"",IF(C438="Buy",-(D438*E438+F438),D438*E438-F438))</f>
        <v/>
      </c>
      <c r="H438" s="30">
        <f>IF(OR(D438="",E438="",D438*E438=0),"",F438/(D438*E438))</f>
        <v/>
      </c>
      <c r="I438" s="26" t="n"/>
      <c r="J438" s="26" t="n"/>
    </row>
    <row r="439">
      <c r="A439" s="25" t="n"/>
      <c r="B439" s="26" t="n"/>
      <c r="C439" s="26" t="n"/>
      <c r="D439" s="26" t="n"/>
      <c r="E439" s="27" t="n"/>
      <c r="F439" s="28" t="n"/>
      <c r="G439" s="29">
        <f>IF(OR(C439="",D439=""),"",IF(C439="Buy",-(D439*E439+F439),D439*E439-F439))</f>
        <v/>
      </c>
      <c r="H439" s="30">
        <f>IF(OR(D439="",E439="",D439*E439=0),"",F439/(D439*E439))</f>
        <v/>
      </c>
      <c r="I439" s="26" t="n"/>
      <c r="J439" s="26" t="n"/>
    </row>
    <row r="440">
      <c r="A440" s="25" t="n"/>
      <c r="B440" s="26" t="n"/>
      <c r="C440" s="26" t="n"/>
      <c r="D440" s="26" t="n"/>
      <c r="E440" s="27" t="n"/>
      <c r="F440" s="28" t="n"/>
      <c r="G440" s="29">
        <f>IF(OR(C440="",D440=""),"",IF(C440="Buy",-(D440*E440+F440),D440*E440-F440))</f>
        <v/>
      </c>
      <c r="H440" s="30">
        <f>IF(OR(D440="",E440="",D440*E440=0),"",F440/(D440*E440))</f>
        <v/>
      </c>
      <c r="I440" s="26" t="n"/>
      <c r="J440" s="26" t="n"/>
    </row>
    <row r="441">
      <c r="A441" s="25" t="n"/>
      <c r="B441" s="26" t="n"/>
      <c r="C441" s="26" t="n"/>
      <c r="D441" s="26" t="n"/>
      <c r="E441" s="27" t="n"/>
      <c r="F441" s="28" t="n"/>
      <c r="G441" s="29">
        <f>IF(OR(C441="",D441=""),"",IF(C441="Buy",-(D441*E441+F441),D441*E441-F441))</f>
        <v/>
      </c>
      <c r="H441" s="30">
        <f>IF(OR(D441="",E441="",D441*E441=0),"",F441/(D441*E441))</f>
        <v/>
      </c>
      <c r="I441" s="26" t="n"/>
      <c r="J441" s="26" t="n"/>
    </row>
    <row r="442">
      <c r="A442" s="25" t="n"/>
      <c r="B442" s="26" t="n"/>
      <c r="C442" s="26" t="n"/>
      <c r="D442" s="26" t="n"/>
      <c r="E442" s="27" t="n"/>
      <c r="F442" s="28" t="n"/>
      <c r="G442" s="29">
        <f>IF(OR(C442="",D442=""),"",IF(C442="Buy",-(D442*E442+F442),D442*E442-F442))</f>
        <v/>
      </c>
      <c r="H442" s="30">
        <f>IF(OR(D442="",E442="",D442*E442=0),"",F442/(D442*E442))</f>
        <v/>
      </c>
      <c r="I442" s="26" t="n"/>
      <c r="J442" s="26" t="n"/>
    </row>
    <row r="443">
      <c r="A443" s="25" t="n"/>
      <c r="B443" s="26" t="n"/>
      <c r="C443" s="26" t="n"/>
      <c r="D443" s="26" t="n"/>
      <c r="E443" s="27" t="n"/>
      <c r="F443" s="28" t="n"/>
      <c r="G443" s="29">
        <f>IF(OR(C443="",D443=""),"",IF(C443="Buy",-(D443*E443+F443),D443*E443-F443))</f>
        <v/>
      </c>
      <c r="H443" s="30">
        <f>IF(OR(D443="",E443="",D443*E443=0),"",F443/(D443*E443))</f>
        <v/>
      </c>
      <c r="I443" s="26" t="n"/>
      <c r="J443" s="26" t="n"/>
    </row>
    <row r="444">
      <c r="A444" s="25" t="n"/>
      <c r="B444" s="26" t="n"/>
      <c r="C444" s="26" t="n"/>
      <c r="D444" s="26" t="n"/>
      <c r="E444" s="27" t="n"/>
      <c r="F444" s="28" t="n"/>
      <c r="G444" s="29">
        <f>IF(OR(C444="",D444=""),"",IF(C444="Buy",-(D444*E444+F444),D444*E444-F444))</f>
        <v/>
      </c>
      <c r="H444" s="30">
        <f>IF(OR(D444="",E444="",D444*E444=0),"",F444/(D444*E444))</f>
        <v/>
      </c>
      <c r="I444" s="26" t="n"/>
      <c r="J444" s="26" t="n"/>
    </row>
    <row r="445">
      <c r="A445" s="25" t="n"/>
      <c r="B445" s="26" t="n"/>
      <c r="C445" s="26" t="n"/>
      <c r="D445" s="26" t="n"/>
      <c r="E445" s="27" t="n"/>
      <c r="F445" s="28" t="n"/>
      <c r="G445" s="29">
        <f>IF(OR(C445="",D445=""),"",IF(C445="Buy",-(D445*E445+F445),D445*E445-F445))</f>
        <v/>
      </c>
      <c r="H445" s="30">
        <f>IF(OR(D445="",E445="",D445*E445=0),"",F445/(D445*E445))</f>
        <v/>
      </c>
      <c r="I445" s="26" t="n"/>
      <c r="J445" s="26" t="n"/>
    </row>
    <row r="446">
      <c r="A446" s="25" t="n"/>
      <c r="B446" s="26" t="n"/>
      <c r="C446" s="26" t="n"/>
      <c r="D446" s="26" t="n"/>
      <c r="E446" s="27" t="n"/>
      <c r="F446" s="28" t="n"/>
      <c r="G446" s="29">
        <f>IF(OR(C446="",D446=""),"",IF(C446="Buy",-(D446*E446+F446),D446*E446-F446))</f>
        <v/>
      </c>
      <c r="H446" s="30">
        <f>IF(OR(D446="",E446="",D446*E446=0),"",F446/(D446*E446))</f>
        <v/>
      </c>
      <c r="I446" s="26" t="n"/>
      <c r="J446" s="26" t="n"/>
    </row>
    <row r="447">
      <c r="A447" s="25" t="n"/>
      <c r="B447" s="26" t="n"/>
      <c r="C447" s="26" t="n"/>
      <c r="D447" s="26" t="n"/>
      <c r="E447" s="27" t="n"/>
      <c r="F447" s="28" t="n"/>
      <c r="G447" s="29">
        <f>IF(OR(C447="",D447=""),"",IF(C447="Buy",-(D447*E447+F447),D447*E447-F447))</f>
        <v/>
      </c>
      <c r="H447" s="30">
        <f>IF(OR(D447="",E447="",D447*E447=0),"",F447/(D447*E447))</f>
        <v/>
      </c>
      <c r="I447" s="26" t="n"/>
      <c r="J447" s="26" t="n"/>
    </row>
    <row r="448">
      <c r="A448" s="25" t="n"/>
      <c r="B448" s="26" t="n"/>
      <c r="C448" s="26" t="n"/>
      <c r="D448" s="26" t="n"/>
      <c r="E448" s="27" t="n"/>
      <c r="F448" s="28" t="n"/>
      <c r="G448" s="29">
        <f>IF(OR(C448="",D448=""),"",IF(C448="Buy",-(D448*E448+F448),D448*E448-F448))</f>
        <v/>
      </c>
      <c r="H448" s="30">
        <f>IF(OR(D448="",E448="",D448*E448=0),"",F448/(D448*E448))</f>
        <v/>
      </c>
      <c r="I448" s="26" t="n"/>
      <c r="J448" s="26" t="n"/>
    </row>
    <row r="449">
      <c r="A449" s="25" t="n"/>
      <c r="B449" s="26" t="n"/>
      <c r="C449" s="26" t="n"/>
      <c r="D449" s="26" t="n"/>
      <c r="E449" s="27" t="n"/>
      <c r="F449" s="28" t="n"/>
      <c r="G449" s="29">
        <f>IF(OR(C449="",D449=""),"",IF(C449="Buy",-(D449*E449+F449),D449*E449-F449))</f>
        <v/>
      </c>
      <c r="H449" s="30">
        <f>IF(OR(D449="",E449="",D449*E449=0),"",F449/(D449*E449))</f>
        <v/>
      </c>
      <c r="I449" s="26" t="n"/>
      <c r="J449" s="26" t="n"/>
    </row>
    <row r="450">
      <c r="A450" s="25" t="n"/>
      <c r="B450" s="26" t="n"/>
      <c r="C450" s="26" t="n"/>
      <c r="D450" s="26" t="n"/>
      <c r="E450" s="27" t="n"/>
      <c r="F450" s="28" t="n"/>
      <c r="G450" s="29">
        <f>IF(OR(C450="",D450=""),"",IF(C450="Buy",-(D450*E450+F450),D450*E450-F450))</f>
        <v/>
      </c>
      <c r="H450" s="30">
        <f>IF(OR(D450="",E450="",D450*E450=0),"",F450/(D450*E450))</f>
        <v/>
      </c>
      <c r="I450" s="26" t="n"/>
      <c r="J450" s="26" t="n"/>
    </row>
    <row r="451">
      <c r="A451" s="25" t="n"/>
      <c r="B451" s="26" t="n"/>
      <c r="C451" s="26" t="n"/>
      <c r="D451" s="26" t="n"/>
      <c r="E451" s="27" t="n"/>
      <c r="F451" s="28" t="n"/>
      <c r="G451" s="29">
        <f>IF(OR(C451="",D451=""),"",IF(C451="Buy",-(D451*E451+F451),D451*E451-F451))</f>
        <v/>
      </c>
      <c r="H451" s="30">
        <f>IF(OR(D451="",E451="",D451*E451=0),"",F451/(D451*E451))</f>
        <v/>
      </c>
      <c r="I451" s="26" t="n"/>
      <c r="J451" s="26" t="n"/>
    </row>
    <row r="452">
      <c r="A452" s="25" t="n"/>
      <c r="B452" s="26" t="n"/>
      <c r="C452" s="26" t="n"/>
      <c r="D452" s="26" t="n"/>
      <c r="E452" s="27" t="n"/>
      <c r="F452" s="28" t="n"/>
      <c r="G452" s="29">
        <f>IF(OR(C452="",D452=""),"",IF(C452="Buy",-(D452*E452+F452),D452*E452-F452))</f>
        <v/>
      </c>
      <c r="H452" s="30">
        <f>IF(OR(D452="",E452="",D452*E452=0),"",F452/(D452*E452))</f>
        <v/>
      </c>
      <c r="I452" s="26" t="n"/>
      <c r="J452" s="26" t="n"/>
    </row>
    <row r="453">
      <c r="A453" s="25" t="n"/>
      <c r="B453" s="26" t="n"/>
      <c r="C453" s="26" t="n"/>
      <c r="D453" s="26" t="n"/>
      <c r="E453" s="27" t="n"/>
      <c r="F453" s="28" t="n"/>
      <c r="G453" s="29">
        <f>IF(OR(C453="",D453=""),"",IF(C453="Buy",-(D453*E453+F453),D453*E453-F453))</f>
        <v/>
      </c>
      <c r="H453" s="30">
        <f>IF(OR(D453="",E453="",D453*E453=0),"",F453/(D453*E453))</f>
        <v/>
      </c>
      <c r="I453" s="26" t="n"/>
      <c r="J453" s="26" t="n"/>
    </row>
    <row r="454">
      <c r="A454" s="25" t="n"/>
      <c r="B454" s="26" t="n"/>
      <c r="C454" s="26" t="n"/>
      <c r="D454" s="26" t="n"/>
      <c r="E454" s="27" t="n"/>
      <c r="F454" s="28" t="n"/>
      <c r="G454" s="29">
        <f>IF(OR(C454="",D454=""),"",IF(C454="Buy",-(D454*E454+F454),D454*E454-F454))</f>
        <v/>
      </c>
      <c r="H454" s="30">
        <f>IF(OR(D454="",E454="",D454*E454=0),"",F454/(D454*E454))</f>
        <v/>
      </c>
      <c r="I454" s="26" t="n"/>
      <c r="J454" s="26" t="n"/>
    </row>
    <row r="455">
      <c r="A455" s="25" t="n"/>
      <c r="B455" s="26" t="n"/>
      <c r="C455" s="26" t="n"/>
      <c r="D455" s="26" t="n"/>
      <c r="E455" s="27" t="n"/>
      <c r="F455" s="28" t="n"/>
      <c r="G455" s="29">
        <f>IF(OR(C455="",D455=""),"",IF(C455="Buy",-(D455*E455+F455),D455*E455-F455))</f>
        <v/>
      </c>
      <c r="H455" s="30">
        <f>IF(OR(D455="",E455="",D455*E455=0),"",F455/(D455*E455))</f>
        <v/>
      </c>
      <c r="I455" s="26" t="n"/>
      <c r="J455" s="26" t="n"/>
    </row>
    <row r="456">
      <c r="A456" s="25" t="n"/>
      <c r="B456" s="26" t="n"/>
      <c r="C456" s="26" t="n"/>
      <c r="D456" s="26" t="n"/>
      <c r="E456" s="27" t="n"/>
      <c r="F456" s="28" t="n"/>
      <c r="G456" s="29">
        <f>IF(OR(C456="",D456=""),"",IF(C456="Buy",-(D456*E456+F456),D456*E456-F456))</f>
        <v/>
      </c>
      <c r="H456" s="30">
        <f>IF(OR(D456="",E456="",D456*E456=0),"",F456/(D456*E456))</f>
        <v/>
      </c>
      <c r="I456" s="26" t="n"/>
      <c r="J456" s="26" t="n"/>
    </row>
    <row r="457">
      <c r="A457" s="25" t="n"/>
      <c r="B457" s="26" t="n"/>
      <c r="C457" s="26" t="n"/>
      <c r="D457" s="26" t="n"/>
      <c r="E457" s="27" t="n"/>
      <c r="F457" s="28" t="n"/>
      <c r="G457" s="29">
        <f>IF(OR(C457="",D457=""),"",IF(C457="Buy",-(D457*E457+F457),D457*E457-F457))</f>
        <v/>
      </c>
      <c r="H457" s="30">
        <f>IF(OR(D457="",E457="",D457*E457=0),"",F457/(D457*E457))</f>
        <v/>
      </c>
      <c r="I457" s="26" t="n"/>
      <c r="J457" s="26" t="n"/>
    </row>
    <row r="458">
      <c r="A458" s="25" t="n"/>
      <c r="B458" s="26" t="n"/>
      <c r="C458" s="26" t="n"/>
      <c r="D458" s="26" t="n"/>
      <c r="E458" s="27" t="n"/>
      <c r="F458" s="28" t="n"/>
      <c r="G458" s="29">
        <f>IF(OR(C458="",D458=""),"",IF(C458="Buy",-(D458*E458+F458),D458*E458-F458))</f>
        <v/>
      </c>
      <c r="H458" s="30">
        <f>IF(OR(D458="",E458="",D458*E458=0),"",F458/(D458*E458))</f>
        <v/>
      </c>
      <c r="I458" s="26" t="n"/>
      <c r="J458" s="26" t="n"/>
    </row>
    <row r="459">
      <c r="A459" s="25" t="n"/>
      <c r="B459" s="26" t="n"/>
      <c r="C459" s="26" t="n"/>
      <c r="D459" s="26" t="n"/>
      <c r="E459" s="27" t="n"/>
      <c r="F459" s="28" t="n"/>
      <c r="G459" s="29">
        <f>IF(OR(C459="",D459=""),"",IF(C459="Buy",-(D459*E459+F459),D459*E459-F459))</f>
        <v/>
      </c>
      <c r="H459" s="30">
        <f>IF(OR(D459="",E459="",D459*E459=0),"",F459/(D459*E459))</f>
        <v/>
      </c>
      <c r="I459" s="26" t="n"/>
      <c r="J459" s="26" t="n"/>
    </row>
    <row r="460">
      <c r="A460" s="25" t="n"/>
      <c r="B460" s="26" t="n"/>
      <c r="C460" s="26" t="n"/>
      <c r="D460" s="26" t="n"/>
      <c r="E460" s="27" t="n"/>
      <c r="F460" s="28" t="n"/>
      <c r="G460" s="29">
        <f>IF(OR(C460="",D460=""),"",IF(C460="Buy",-(D460*E460+F460),D460*E460-F460))</f>
        <v/>
      </c>
      <c r="H460" s="30">
        <f>IF(OR(D460="",E460="",D460*E460=0),"",F460/(D460*E460))</f>
        <v/>
      </c>
      <c r="I460" s="26" t="n"/>
      <c r="J460" s="26" t="n"/>
    </row>
    <row r="461">
      <c r="A461" s="25" t="n"/>
      <c r="B461" s="26" t="n"/>
      <c r="C461" s="26" t="n"/>
      <c r="D461" s="26" t="n"/>
      <c r="E461" s="27" t="n"/>
      <c r="F461" s="28" t="n"/>
      <c r="G461" s="29">
        <f>IF(OR(C461="",D461=""),"",IF(C461="Buy",-(D461*E461+F461),D461*E461-F461))</f>
        <v/>
      </c>
      <c r="H461" s="30">
        <f>IF(OR(D461="",E461="",D461*E461=0),"",F461/(D461*E461))</f>
        <v/>
      </c>
      <c r="I461" s="26" t="n"/>
      <c r="J461" s="26" t="n"/>
    </row>
    <row r="462">
      <c r="A462" s="25" t="n"/>
      <c r="B462" s="26" t="n"/>
      <c r="C462" s="26" t="n"/>
      <c r="D462" s="26" t="n"/>
      <c r="E462" s="27" t="n"/>
      <c r="F462" s="28" t="n"/>
      <c r="G462" s="29">
        <f>IF(OR(C462="",D462=""),"",IF(C462="Buy",-(D462*E462+F462),D462*E462-F462))</f>
        <v/>
      </c>
      <c r="H462" s="30">
        <f>IF(OR(D462="",E462="",D462*E462=0),"",F462/(D462*E462))</f>
        <v/>
      </c>
      <c r="I462" s="26" t="n"/>
      <c r="J462" s="26" t="n"/>
    </row>
    <row r="463">
      <c r="A463" s="25" t="n"/>
      <c r="B463" s="26" t="n"/>
      <c r="C463" s="26" t="n"/>
      <c r="D463" s="26" t="n"/>
      <c r="E463" s="27" t="n"/>
      <c r="F463" s="28" t="n"/>
      <c r="G463" s="29">
        <f>IF(OR(C463="",D463=""),"",IF(C463="Buy",-(D463*E463+F463),D463*E463-F463))</f>
        <v/>
      </c>
      <c r="H463" s="30">
        <f>IF(OR(D463="",E463="",D463*E463=0),"",F463/(D463*E463))</f>
        <v/>
      </c>
      <c r="I463" s="26" t="n"/>
      <c r="J463" s="26" t="n"/>
    </row>
    <row r="464">
      <c r="A464" s="25" t="n"/>
      <c r="B464" s="26" t="n"/>
      <c r="C464" s="26" t="n"/>
      <c r="D464" s="26" t="n"/>
      <c r="E464" s="27" t="n"/>
      <c r="F464" s="28" t="n"/>
      <c r="G464" s="29">
        <f>IF(OR(C464="",D464=""),"",IF(C464="Buy",-(D464*E464+F464),D464*E464-F464))</f>
        <v/>
      </c>
      <c r="H464" s="30">
        <f>IF(OR(D464="",E464="",D464*E464=0),"",F464/(D464*E464))</f>
        <v/>
      </c>
      <c r="I464" s="26" t="n"/>
      <c r="J464" s="26" t="n"/>
    </row>
    <row r="465">
      <c r="A465" s="25" t="n"/>
      <c r="B465" s="26" t="n"/>
      <c r="C465" s="26" t="n"/>
      <c r="D465" s="26" t="n"/>
      <c r="E465" s="27" t="n"/>
      <c r="F465" s="28" t="n"/>
      <c r="G465" s="29">
        <f>IF(OR(C465="",D465=""),"",IF(C465="Buy",-(D465*E465+F465),D465*E465-F465))</f>
        <v/>
      </c>
      <c r="H465" s="30">
        <f>IF(OR(D465="",E465="",D465*E465=0),"",F465/(D465*E465))</f>
        <v/>
      </c>
      <c r="I465" s="26" t="n"/>
      <c r="J465" s="26" t="n"/>
    </row>
    <row r="466">
      <c r="A466" s="25" t="n"/>
      <c r="B466" s="26" t="n"/>
      <c r="C466" s="26" t="n"/>
      <c r="D466" s="26" t="n"/>
      <c r="E466" s="27" t="n"/>
      <c r="F466" s="28" t="n"/>
      <c r="G466" s="29">
        <f>IF(OR(C466="",D466=""),"",IF(C466="Buy",-(D466*E466+F466),D466*E466-F466))</f>
        <v/>
      </c>
      <c r="H466" s="30">
        <f>IF(OR(D466="",E466="",D466*E466=0),"",F466/(D466*E466))</f>
        <v/>
      </c>
      <c r="I466" s="26" t="n"/>
      <c r="J466" s="26" t="n"/>
    </row>
    <row r="467">
      <c r="A467" s="25" t="n"/>
      <c r="B467" s="26" t="n"/>
      <c r="C467" s="26" t="n"/>
      <c r="D467" s="26" t="n"/>
      <c r="E467" s="27" t="n"/>
      <c r="F467" s="28" t="n"/>
      <c r="G467" s="29">
        <f>IF(OR(C467="",D467=""),"",IF(C467="Buy",-(D467*E467+F467),D467*E467-F467))</f>
        <v/>
      </c>
      <c r="H467" s="30">
        <f>IF(OR(D467="",E467="",D467*E467=0),"",F467/(D467*E467))</f>
        <v/>
      </c>
      <c r="I467" s="26" t="n"/>
      <c r="J467" s="26" t="n"/>
    </row>
    <row r="468">
      <c r="A468" s="25" t="n"/>
      <c r="B468" s="26" t="n"/>
      <c r="C468" s="26" t="n"/>
      <c r="D468" s="26" t="n"/>
      <c r="E468" s="27" t="n"/>
      <c r="F468" s="28" t="n"/>
      <c r="G468" s="29">
        <f>IF(OR(C468="",D468=""),"",IF(C468="Buy",-(D468*E468+F468),D468*E468-F468))</f>
        <v/>
      </c>
      <c r="H468" s="30">
        <f>IF(OR(D468="",E468="",D468*E468=0),"",F468/(D468*E468))</f>
        <v/>
      </c>
      <c r="I468" s="26" t="n"/>
      <c r="J468" s="26" t="n"/>
    </row>
    <row r="469">
      <c r="A469" s="25" t="n"/>
      <c r="B469" s="26" t="n"/>
      <c r="C469" s="26" t="n"/>
      <c r="D469" s="26" t="n"/>
      <c r="E469" s="27" t="n"/>
      <c r="F469" s="28" t="n"/>
      <c r="G469" s="29">
        <f>IF(OR(C469="",D469=""),"",IF(C469="Buy",-(D469*E469+F469),D469*E469-F469))</f>
        <v/>
      </c>
      <c r="H469" s="30">
        <f>IF(OR(D469="",E469="",D469*E469=0),"",F469/(D469*E469))</f>
        <v/>
      </c>
      <c r="I469" s="26" t="n"/>
      <c r="J469" s="26" t="n"/>
    </row>
    <row r="470">
      <c r="A470" s="25" t="n"/>
      <c r="B470" s="26" t="n"/>
      <c r="C470" s="26" t="n"/>
      <c r="D470" s="26" t="n"/>
      <c r="E470" s="27" t="n"/>
      <c r="F470" s="28" t="n"/>
      <c r="G470" s="29">
        <f>IF(OR(C470="",D470=""),"",IF(C470="Buy",-(D470*E470+F470),D470*E470-F470))</f>
        <v/>
      </c>
      <c r="H470" s="30">
        <f>IF(OR(D470="",E470="",D470*E470=0),"",F470/(D470*E470))</f>
        <v/>
      </c>
      <c r="I470" s="26" t="n"/>
      <c r="J470" s="26" t="n"/>
    </row>
    <row r="471">
      <c r="A471" s="25" t="n"/>
      <c r="B471" s="26" t="n"/>
      <c r="C471" s="26" t="n"/>
      <c r="D471" s="26" t="n"/>
      <c r="E471" s="27" t="n"/>
      <c r="F471" s="28" t="n"/>
      <c r="G471" s="29">
        <f>IF(OR(C471="",D471=""),"",IF(C471="Buy",-(D471*E471+F471),D471*E471-F471))</f>
        <v/>
      </c>
      <c r="H471" s="30">
        <f>IF(OR(D471="",E471="",D471*E471=0),"",F471/(D471*E471))</f>
        <v/>
      </c>
      <c r="I471" s="26" t="n"/>
      <c r="J471" s="26" t="n"/>
    </row>
    <row r="472">
      <c r="A472" s="25" t="n"/>
      <c r="B472" s="26" t="n"/>
      <c r="C472" s="26" t="n"/>
      <c r="D472" s="26" t="n"/>
      <c r="E472" s="27" t="n"/>
      <c r="F472" s="28" t="n"/>
      <c r="G472" s="29">
        <f>IF(OR(C472="",D472=""),"",IF(C472="Buy",-(D472*E472+F472),D472*E472-F472))</f>
        <v/>
      </c>
      <c r="H472" s="30">
        <f>IF(OR(D472="",E472="",D472*E472=0),"",F472/(D472*E472))</f>
        <v/>
      </c>
      <c r="I472" s="26" t="n"/>
      <c r="J472" s="26" t="n"/>
    </row>
    <row r="473">
      <c r="A473" s="25" t="n"/>
      <c r="B473" s="26" t="n"/>
      <c r="C473" s="26" t="n"/>
      <c r="D473" s="26" t="n"/>
      <c r="E473" s="27" t="n"/>
      <c r="F473" s="28" t="n"/>
      <c r="G473" s="29">
        <f>IF(OR(C473="",D473=""),"",IF(C473="Buy",-(D473*E473+F473),D473*E473-F473))</f>
        <v/>
      </c>
      <c r="H473" s="30">
        <f>IF(OR(D473="",E473="",D473*E473=0),"",F473/(D473*E473))</f>
        <v/>
      </c>
      <c r="I473" s="26" t="n"/>
      <c r="J473" s="26" t="n"/>
    </row>
    <row r="474">
      <c r="A474" s="25" t="n"/>
      <c r="B474" s="26" t="n"/>
      <c r="C474" s="26" t="n"/>
      <c r="D474" s="26" t="n"/>
      <c r="E474" s="27" t="n"/>
      <c r="F474" s="28" t="n"/>
      <c r="G474" s="29">
        <f>IF(OR(C474="",D474=""),"",IF(C474="Buy",-(D474*E474+F474),D474*E474-F474))</f>
        <v/>
      </c>
      <c r="H474" s="30">
        <f>IF(OR(D474="",E474="",D474*E474=0),"",F474/(D474*E474))</f>
        <v/>
      </c>
      <c r="I474" s="26" t="n"/>
      <c r="J474" s="26" t="n"/>
    </row>
    <row r="475">
      <c r="A475" s="25" t="n"/>
      <c r="B475" s="26" t="n"/>
      <c r="C475" s="26" t="n"/>
      <c r="D475" s="26" t="n"/>
      <c r="E475" s="27" t="n"/>
      <c r="F475" s="28" t="n"/>
      <c r="G475" s="29">
        <f>IF(OR(C475="",D475=""),"",IF(C475="Buy",-(D475*E475+F475),D475*E475-F475))</f>
        <v/>
      </c>
      <c r="H475" s="30">
        <f>IF(OR(D475="",E475="",D475*E475=0),"",F475/(D475*E475))</f>
        <v/>
      </c>
      <c r="I475" s="26" t="n"/>
      <c r="J475" s="26" t="n"/>
    </row>
    <row r="476">
      <c r="A476" s="25" t="n"/>
      <c r="B476" s="26" t="n"/>
      <c r="C476" s="26" t="n"/>
      <c r="D476" s="26" t="n"/>
      <c r="E476" s="27" t="n"/>
      <c r="F476" s="28" t="n"/>
      <c r="G476" s="29">
        <f>IF(OR(C476="",D476=""),"",IF(C476="Buy",-(D476*E476+F476),D476*E476-F476))</f>
        <v/>
      </c>
      <c r="H476" s="30">
        <f>IF(OR(D476="",E476="",D476*E476=0),"",F476/(D476*E476))</f>
        <v/>
      </c>
      <c r="I476" s="26" t="n"/>
      <c r="J476" s="26" t="n"/>
    </row>
    <row r="477">
      <c r="A477" s="25" t="n"/>
      <c r="B477" s="26" t="n"/>
      <c r="C477" s="26" t="n"/>
      <c r="D477" s="26" t="n"/>
      <c r="E477" s="27" t="n"/>
      <c r="F477" s="28" t="n"/>
      <c r="G477" s="29">
        <f>IF(OR(C477="",D477=""),"",IF(C477="Buy",-(D477*E477+F477),D477*E477-F477))</f>
        <v/>
      </c>
      <c r="H477" s="30">
        <f>IF(OR(D477="",E477="",D477*E477=0),"",F477/(D477*E477))</f>
        <v/>
      </c>
      <c r="I477" s="26" t="n"/>
      <c r="J477" s="26" t="n"/>
    </row>
    <row r="478">
      <c r="A478" s="25" t="n"/>
      <c r="B478" s="26" t="n"/>
      <c r="C478" s="26" t="n"/>
      <c r="D478" s="26" t="n"/>
      <c r="E478" s="27" t="n"/>
      <c r="F478" s="28" t="n"/>
      <c r="G478" s="29">
        <f>IF(OR(C478="",D478=""),"",IF(C478="Buy",-(D478*E478+F478),D478*E478-F478))</f>
        <v/>
      </c>
      <c r="H478" s="30">
        <f>IF(OR(D478="",E478="",D478*E478=0),"",F478/(D478*E478))</f>
        <v/>
      </c>
      <c r="I478" s="26" t="n"/>
      <c r="J478" s="26" t="n"/>
    </row>
    <row r="479">
      <c r="A479" s="25" t="n"/>
      <c r="B479" s="26" t="n"/>
      <c r="C479" s="26" t="n"/>
      <c r="D479" s="26" t="n"/>
      <c r="E479" s="27" t="n"/>
      <c r="F479" s="28" t="n"/>
      <c r="G479" s="29">
        <f>IF(OR(C479="",D479=""),"",IF(C479="Buy",-(D479*E479+F479),D479*E479-F479))</f>
        <v/>
      </c>
      <c r="H479" s="30">
        <f>IF(OR(D479="",E479="",D479*E479=0),"",F479/(D479*E479))</f>
        <v/>
      </c>
      <c r="I479" s="26" t="n"/>
      <c r="J479" s="26" t="n"/>
    </row>
    <row r="480">
      <c r="A480" s="25" t="n"/>
      <c r="B480" s="26" t="n"/>
      <c r="C480" s="26" t="n"/>
      <c r="D480" s="26" t="n"/>
      <c r="E480" s="27" t="n"/>
      <c r="F480" s="28" t="n"/>
      <c r="G480" s="29">
        <f>IF(OR(C480="",D480=""),"",IF(C480="Buy",-(D480*E480+F480),D480*E480-F480))</f>
        <v/>
      </c>
      <c r="H480" s="30">
        <f>IF(OR(D480="",E480="",D480*E480=0),"",F480/(D480*E480))</f>
        <v/>
      </c>
      <c r="I480" s="26" t="n"/>
      <c r="J480" s="26" t="n"/>
    </row>
    <row r="481">
      <c r="A481" s="25" t="n"/>
      <c r="B481" s="26" t="n"/>
      <c r="C481" s="26" t="n"/>
      <c r="D481" s="26" t="n"/>
      <c r="E481" s="27" t="n"/>
      <c r="F481" s="28" t="n"/>
      <c r="G481" s="29">
        <f>IF(OR(C481="",D481=""),"",IF(C481="Buy",-(D481*E481+F481),D481*E481-F481))</f>
        <v/>
      </c>
      <c r="H481" s="30">
        <f>IF(OR(D481="",E481="",D481*E481=0),"",F481/(D481*E481))</f>
        <v/>
      </c>
      <c r="I481" s="26" t="n"/>
      <c r="J481" s="26" t="n"/>
    </row>
    <row r="482">
      <c r="A482" s="25" t="n"/>
      <c r="B482" s="26" t="n"/>
      <c r="C482" s="26" t="n"/>
      <c r="D482" s="26" t="n"/>
      <c r="E482" s="27" t="n"/>
      <c r="F482" s="28" t="n"/>
      <c r="G482" s="29">
        <f>IF(OR(C482="",D482=""),"",IF(C482="Buy",-(D482*E482+F482),D482*E482-F482))</f>
        <v/>
      </c>
      <c r="H482" s="30">
        <f>IF(OR(D482="",E482="",D482*E482=0),"",F482/(D482*E482))</f>
        <v/>
      </c>
      <c r="I482" s="26" t="n"/>
      <c r="J482" s="26" t="n"/>
    </row>
    <row r="483">
      <c r="A483" s="25" t="n"/>
      <c r="B483" s="26" t="n"/>
      <c r="C483" s="26" t="n"/>
      <c r="D483" s="26" t="n"/>
      <c r="E483" s="27" t="n"/>
      <c r="F483" s="28" t="n"/>
      <c r="G483" s="29">
        <f>IF(OR(C483="",D483=""),"",IF(C483="Buy",-(D483*E483+F483),D483*E483-F483))</f>
        <v/>
      </c>
      <c r="H483" s="30">
        <f>IF(OR(D483="",E483="",D483*E483=0),"",F483/(D483*E483))</f>
        <v/>
      </c>
      <c r="I483" s="26" t="n"/>
      <c r="J483" s="26" t="n"/>
    </row>
    <row r="484">
      <c r="A484" s="25" t="n"/>
      <c r="B484" s="26" t="n"/>
      <c r="C484" s="26" t="n"/>
      <c r="D484" s="26" t="n"/>
      <c r="E484" s="27" t="n"/>
      <c r="F484" s="28" t="n"/>
      <c r="G484" s="29">
        <f>IF(OR(C484="",D484=""),"",IF(C484="Buy",-(D484*E484+F484),D484*E484-F484))</f>
        <v/>
      </c>
      <c r="H484" s="30">
        <f>IF(OR(D484="",E484="",D484*E484=0),"",F484/(D484*E484))</f>
        <v/>
      </c>
      <c r="I484" s="26" t="n"/>
      <c r="J484" s="26" t="n"/>
    </row>
    <row r="485">
      <c r="A485" s="25" t="n"/>
      <c r="B485" s="26" t="n"/>
      <c r="C485" s="26" t="n"/>
      <c r="D485" s="26" t="n"/>
      <c r="E485" s="27" t="n"/>
      <c r="F485" s="28" t="n"/>
      <c r="G485" s="29">
        <f>IF(OR(C485="",D485=""),"",IF(C485="Buy",-(D485*E485+F485),D485*E485-F485))</f>
        <v/>
      </c>
      <c r="H485" s="30">
        <f>IF(OR(D485="",E485="",D485*E485=0),"",F485/(D485*E485))</f>
        <v/>
      </c>
      <c r="I485" s="26" t="n"/>
      <c r="J485" s="26" t="n"/>
    </row>
    <row r="486">
      <c r="A486" s="25" t="n"/>
      <c r="B486" s="26" t="n"/>
      <c r="C486" s="26" t="n"/>
      <c r="D486" s="26" t="n"/>
      <c r="E486" s="27" t="n"/>
      <c r="F486" s="28" t="n"/>
      <c r="G486" s="29">
        <f>IF(OR(C486="",D486=""),"",IF(C486="Buy",-(D486*E486+F486),D486*E486-F486))</f>
        <v/>
      </c>
      <c r="H486" s="30">
        <f>IF(OR(D486="",E486="",D486*E486=0),"",F486/(D486*E486))</f>
        <v/>
      </c>
      <c r="I486" s="26" t="n"/>
      <c r="J486" s="26" t="n"/>
    </row>
    <row r="487">
      <c r="A487" s="25" t="n"/>
      <c r="B487" s="26" t="n"/>
      <c r="C487" s="26" t="n"/>
      <c r="D487" s="26" t="n"/>
      <c r="E487" s="27" t="n"/>
      <c r="F487" s="28" t="n"/>
      <c r="G487" s="29">
        <f>IF(OR(C487="",D487=""),"",IF(C487="Buy",-(D487*E487+F487),D487*E487-F487))</f>
        <v/>
      </c>
      <c r="H487" s="30">
        <f>IF(OR(D487="",E487="",D487*E487=0),"",F487/(D487*E487))</f>
        <v/>
      </c>
      <c r="I487" s="26" t="n"/>
      <c r="J487" s="26" t="n"/>
    </row>
    <row r="488">
      <c r="A488" s="25" t="n"/>
      <c r="B488" s="26" t="n"/>
      <c r="C488" s="26" t="n"/>
      <c r="D488" s="26" t="n"/>
      <c r="E488" s="27" t="n"/>
      <c r="F488" s="28" t="n"/>
      <c r="G488" s="29">
        <f>IF(OR(C488="",D488=""),"",IF(C488="Buy",-(D488*E488+F488),D488*E488-F488))</f>
        <v/>
      </c>
      <c r="H488" s="30">
        <f>IF(OR(D488="",E488="",D488*E488=0),"",F488/(D488*E488))</f>
        <v/>
      </c>
      <c r="I488" s="26" t="n"/>
      <c r="J488" s="26" t="n"/>
    </row>
    <row r="489">
      <c r="A489" s="25" t="n"/>
      <c r="B489" s="26" t="n"/>
      <c r="C489" s="26" t="n"/>
      <c r="D489" s="26" t="n"/>
      <c r="E489" s="27" t="n"/>
      <c r="F489" s="28" t="n"/>
      <c r="G489" s="29">
        <f>IF(OR(C489="",D489=""),"",IF(C489="Buy",-(D489*E489+F489),D489*E489-F489))</f>
        <v/>
      </c>
      <c r="H489" s="30">
        <f>IF(OR(D489="",E489="",D489*E489=0),"",F489/(D489*E489))</f>
        <v/>
      </c>
      <c r="I489" s="26" t="n"/>
      <c r="J489" s="26" t="n"/>
    </row>
    <row r="490">
      <c r="A490" s="25" t="n"/>
      <c r="B490" s="26" t="n"/>
      <c r="C490" s="26" t="n"/>
      <c r="D490" s="26" t="n"/>
      <c r="E490" s="27" t="n"/>
      <c r="F490" s="28" t="n"/>
      <c r="G490" s="29">
        <f>IF(OR(C490="",D490=""),"",IF(C490="Buy",-(D490*E490+F490),D490*E490-F490))</f>
        <v/>
      </c>
      <c r="H490" s="30">
        <f>IF(OR(D490="",E490="",D490*E490=0),"",F490/(D490*E490))</f>
        <v/>
      </c>
      <c r="I490" s="26" t="n"/>
      <c r="J490" s="26" t="n"/>
    </row>
    <row r="491">
      <c r="A491" s="25" t="n"/>
      <c r="B491" s="26" t="n"/>
      <c r="C491" s="26" t="n"/>
      <c r="D491" s="26" t="n"/>
      <c r="E491" s="27" t="n"/>
      <c r="F491" s="28" t="n"/>
      <c r="G491" s="29">
        <f>IF(OR(C491="",D491=""),"",IF(C491="Buy",-(D491*E491+F491),D491*E491-F491))</f>
        <v/>
      </c>
      <c r="H491" s="30">
        <f>IF(OR(D491="",E491="",D491*E491=0),"",F491/(D491*E491))</f>
        <v/>
      </c>
      <c r="I491" s="26" t="n"/>
      <c r="J491" s="26" t="n"/>
    </row>
    <row r="492">
      <c r="A492" s="25" t="n"/>
      <c r="B492" s="26" t="n"/>
      <c r="C492" s="26" t="n"/>
      <c r="D492" s="26" t="n"/>
      <c r="E492" s="27" t="n"/>
      <c r="F492" s="28" t="n"/>
      <c r="G492" s="29">
        <f>IF(OR(C492="",D492=""),"",IF(C492="Buy",-(D492*E492+F492),D492*E492-F492))</f>
        <v/>
      </c>
      <c r="H492" s="30">
        <f>IF(OR(D492="",E492="",D492*E492=0),"",F492/(D492*E492))</f>
        <v/>
      </c>
      <c r="I492" s="26" t="n"/>
      <c r="J492" s="26" t="n"/>
    </row>
    <row r="493">
      <c r="A493" s="25" t="n"/>
      <c r="B493" s="26" t="n"/>
      <c r="C493" s="26" t="n"/>
      <c r="D493" s="26" t="n"/>
      <c r="E493" s="27" t="n"/>
      <c r="F493" s="28" t="n"/>
      <c r="G493" s="29">
        <f>IF(OR(C493="",D493=""),"",IF(C493="Buy",-(D493*E493+F493),D493*E493-F493))</f>
        <v/>
      </c>
      <c r="H493" s="30">
        <f>IF(OR(D493="",E493="",D493*E493=0),"",F493/(D493*E493))</f>
        <v/>
      </c>
      <c r="I493" s="26" t="n"/>
      <c r="J493" s="26" t="n"/>
    </row>
    <row r="494">
      <c r="A494" s="25" t="n"/>
      <c r="B494" s="26" t="n"/>
      <c r="C494" s="26" t="n"/>
      <c r="D494" s="26" t="n"/>
      <c r="E494" s="27" t="n"/>
      <c r="F494" s="28" t="n"/>
      <c r="G494" s="29">
        <f>IF(OR(C494="",D494=""),"",IF(C494="Buy",-(D494*E494+F494),D494*E494-F494))</f>
        <v/>
      </c>
      <c r="H494" s="30">
        <f>IF(OR(D494="",E494="",D494*E494=0),"",F494/(D494*E494))</f>
        <v/>
      </c>
      <c r="I494" s="26" t="n"/>
      <c r="J494" s="26" t="n"/>
    </row>
    <row r="495">
      <c r="A495" s="25" t="n"/>
      <c r="B495" s="26" t="n"/>
      <c r="C495" s="26" t="n"/>
      <c r="D495" s="26" t="n"/>
      <c r="E495" s="27" t="n"/>
      <c r="F495" s="28" t="n"/>
      <c r="G495" s="29">
        <f>IF(OR(C495="",D495=""),"",IF(C495="Buy",-(D495*E495+F495),D495*E495-F495))</f>
        <v/>
      </c>
      <c r="H495" s="30">
        <f>IF(OR(D495="",E495="",D495*E495=0),"",F495/(D495*E495))</f>
        <v/>
      </c>
      <c r="I495" s="26" t="n"/>
      <c r="J495" s="26" t="n"/>
    </row>
    <row r="496">
      <c r="A496" s="25" t="n"/>
      <c r="B496" s="26" t="n"/>
      <c r="C496" s="26" t="n"/>
      <c r="D496" s="26" t="n"/>
      <c r="E496" s="27" t="n"/>
      <c r="F496" s="28" t="n"/>
      <c r="G496" s="29">
        <f>IF(OR(C496="",D496=""),"",IF(C496="Buy",-(D496*E496+F496),D496*E496-F496))</f>
        <v/>
      </c>
      <c r="H496" s="30">
        <f>IF(OR(D496="",E496="",D496*E496=0),"",F496/(D496*E496))</f>
        <v/>
      </c>
      <c r="I496" s="26" t="n"/>
      <c r="J496" s="26" t="n"/>
    </row>
    <row r="497">
      <c r="A497" s="25" t="n"/>
      <c r="B497" s="26" t="n"/>
      <c r="C497" s="26" t="n"/>
      <c r="D497" s="26" t="n"/>
      <c r="E497" s="27" t="n"/>
      <c r="F497" s="28" t="n"/>
      <c r="G497" s="29">
        <f>IF(OR(C497="",D497=""),"",IF(C497="Buy",-(D497*E497+F497),D497*E497-F497))</f>
        <v/>
      </c>
      <c r="H497" s="30">
        <f>IF(OR(D497="",E497="",D497*E497=0),"",F497/(D497*E497))</f>
        <v/>
      </c>
      <c r="I497" s="26" t="n"/>
      <c r="J497" s="26" t="n"/>
    </row>
    <row r="498">
      <c r="A498" s="25" t="n"/>
      <c r="B498" s="26" t="n"/>
      <c r="C498" s="26" t="n"/>
      <c r="D498" s="26" t="n"/>
      <c r="E498" s="27" t="n"/>
      <c r="F498" s="28" t="n"/>
      <c r="G498" s="29">
        <f>IF(OR(C498="",D498=""),"",IF(C498="Buy",-(D498*E498+F498),D498*E498-F498))</f>
        <v/>
      </c>
      <c r="H498" s="30">
        <f>IF(OR(D498="",E498="",D498*E498=0),"",F498/(D498*E498))</f>
        <v/>
      </c>
      <c r="I498" s="26" t="n"/>
      <c r="J498" s="26" t="n"/>
    </row>
    <row r="499">
      <c r="A499" s="25" t="n"/>
      <c r="B499" s="26" t="n"/>
      <c r="C499" s="26" t="n"/>
      <c r="D499" s="26" t="n"/>
      <c r="E499" s="27" t="n"/>
      <c r="F499" s="28" t="n"/>
      <c r="G499" s="29">
        <f>IF(OR(C499="",D499=""),"",IF(C499="Buy",-(D499*E499+F499),D499*E499-F499))</f>
        <v/>
      </c>
      <c r="H499" s="30">
        <f>IF(OR(D499="",E499="",D499*E499=0),"",F499/(D499*E499))</f>
        <v/>
      </c>
      <c r="I499" s="26" t="n"/>
      <c r="J499" s="26" t="n"/>
    </row>
    <row r="500">
      <c r="A500" s="25" t="n"/>
      <c r="B500" s="26" t="n"/>
      <c r="C500" s="26" t="n"/>
      <c r="D500" s="26" t="n"/>
      <c r="E500" s="27" t="n"/>
      <c r="F500" s="28" t="n"/>
      <c r="G500" s="29">
        <f>IF(OR(C500="",D500=""),"",IF(C500="Buy",-(D500*E500+F500),D500*E500-F500))</f>
        <v/>
      </c>
      <c r="H500" s="30">
        <f>IF(OR(D500="",E500="",D500*E500=0),"",F500/(D500*E500))</f>
        <v/>
      </c>
      <c r="I500" s="26" t="n"/>
      <c r="J500" s="26" t="n"/>
    </row>
    <row r="501">
      <c r="A501" s="25" t="n"/>
      <c r="B501" s="26" t="n"/>
      <c r="C501" s="26" t="n"/>
      <c r="D501" s="26" t="n"/>
      <c r="E501" s="27" t="n"/>
      <c r="F501" s="28" t="n"/>
      <c r="G501" s="29">
        <f>IF(OR(C501="",D501=""),"",IF(C501="Buy",-(D501*E501+F501),D501*E501-F501))</f>
        <v/>
      </c>
      <c r="H501" s="30">
        <f>IF(OR(D501="",E501="",D501*E501=0),"",F501/(D501*E501))</f>
        <v/>
      </c>
      <c r="I501" s="26" t="n"/>
      <c r="J501" s="26" t="n"/>
    </row>
    <row r="502">
      <c r="A502" s="25" t="n"/>
      <c r="B502" s="26" t="n"/>
      <c r="C502" s="26" t="n"/>
      <c r="D502" s="26" t="n"/>
      <c r="E502" s="27" t="n"/>
      <c r="F502" s="28" t="n"/>
      <c r="G502" s="29">
        <f>IF(OR(C502="",D502=""),"",IF(C502="Buy",-(D502*E502+F502),D502*E502-F502))</f>
        <v/>
      </c>
      <c r="H502" s="30">
        <f>IF(OR(D502="",E502="",D502*E502=0),"",F502/(D502*E502))</f>
        <v/>
      </c>
      <c r="I502" s="26" t="n"/>
      <c r="J502" s="26" t="n"/>
    </row>
    <row r="503">
      <c r="A503" s="25" t="n"/>
      <c r="B503" s="26" t="n"/>
      <c r="C503" s="26" t="n"/>
      <c r="D503" s="26" t="n"/>
      <c r="E503" s="27" t="n"/>
      <c r="F503" s="28" t="n"/>
      <c r="G503" s="29">
        <f>IF(OR(C503="",D503=""),"",IF(C503="Buy",-(D503*E503+F503),D503*E503-F503))</f>
        <v/>
      </c>
      <c r="H503" s="30">
        <f>IF(OR(D503="",E503="",D503*E503=0),"",F503/(D503*E503))</f>
        <v/>
      </c>
      <c r="I503" s="26" t="n"/>
      <c r="J503" s="26" t="n"/>
    </row>
    <row r="504">
      <c r="A504" s="25" t="n"/>
      <c r="B504" s="26" t="n"/>
      <c r="C504" s="26" t="n"/>
      <c r="D504" s="26" t="n"/>
      <c r="E504" s="27" t="n"/>
      <c r="F504" s="28" t="n"/>
      <c r="G504" s="29">
        <f>IF(OR(C504="",D504=""),"",IF(C504="Buy",-(D504*E504+F504),D504*E504-F504))</f>
        <v/>
      </c>
      <c r="H504" s="30">
        <f>IF(OR(D504="",E504="",D504*E504=0),"",F504/(D504*E504))</f>
        <v/>
      </c>
      <c r="I504" s="26" t="n"/>
      <c r="J504" s="26" t="n"/>
    </row>
  </sheetData>
  <conditionalFormatting sqref="H5:H504">
    <cfRule type="expression" priority="1" dxfId="0">
      <formula>AND(H5&lt;&gt;"",H5&gt;Settings!$B$8)</formula>
    </cfRule>
  </conditionalFormatting>
  <conditionalFormatting sqref="I5:I504">
    <cfRule type="cellIs" priority="2" operator="equal" dxfId="0">
      <formula>"N"</formula>
    </cfRule>
  </conditionalFormatting>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showDropDown="0" showInputMessage="0" showErrorMessage="0" allowBlank="1" type="list">
      <formula1>"Buy,Sell"</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4"/>
  <sheetViews>
    <sheetView workbookViewId="0">
      <pane ySplit="4" topLeftCell="A5" activePane="bottomLeft" state="frozen"/>
      <selection pane="bottomLeft" activeCell="A1" sqref="A1"/>
    </sheetView>
  </sheetViews>
  <sheetFormatPr baseColWidth="8" defaultRowHeight="15"/>
  <cols>
    <col width="13" customWidth="1" min="1" max="1"/>
    <col width="10" customWidth="1" min="2" max="2"/>
    <col width="16" customWidth="1" min="3" max="3"/>
    <col width="16" customWidth="1" min="4" max="4"/>
    <col width="16" customWidth="1" min="5" max="5"/>
    <col width="13" customWidth="1" min="6" max="6"/>
    <col width="16" customWidth="1" min="7" max="7"/>
    <col width="13" customWidth="1" min="8" max="8"/>
    <col width="40" customWidth="1" min="9" max="9"/>
  </cols>
  <sheetData>
    <row r="1">
      <c r="A1" s="1" t="inlineStr">
        <is>
          <t>Dividends &amp; Distributions</t>
        </is>
      </c>
    </row>
    <row r="2">
      <c r="A2" s="2" t="inlineStr">
        <is>
          <t>One row per payment. Franking % is on the distribution statement (ETFs often 0-80%).</t>
        </is>
      </c>
    </row>
    <row r="4">
      <c r="A4" s="24" t="inlineStr">
        <is>
          <t>Pay date</t>
        </is>
      </c>
      <c r="B4" s="24" t="inlineStr">
        <is>
          <t>Ticker</t>
        </is>
      </c>
      <c r="C4" s="24" t="inlineStr">
        <is>
          <t>Cash received ($)</t>
        </is>
      </c>
      <c r="D4" s="24" t="inlineStr">
        <is>
          <t>Franked % (0-100%)</t>
        </is>
      </c>
      <c r="E4" s="24" t="inlineStr">
        <is>
          <t>Franking credit ($)</t>
        </is>
      </c>
      <c r="F4" s="24" t="inlineStr">
        <is>
          <t>Reinvested? (Y/N)</t>
        </is>
      </c>
      <c r="G4" s="24" t="inlineStr">
        <is>
          <t>Units received if reinvested</t>
        </is>
      </c>
      <c r="H4" s="24" t="inlineStr">
        <is>
          <t>Financial year</t>
        </is>
      </c>
      <c r="I4" s="24" t="inlineStr">
        <is>
          <t>Notes</t>
        </is>
      </c>
    </row>
    <row r="5">
      <c r="A5" s="25" t="n"/>
      <c r="B5" s="26" t="n"/>
      <c r="C5" s="28" t="n"/>
      <c r="D5" s="31" t="n"/>
      <c r="E5" s="29">
        <f>IF(C5="","",C5*N(D5)*30/70)</f>
        <v/>
      </c>
      <c r="F5" s="26" t="n"/>
      <c r="G5" s="26" t="n"/>
      <c r="H5" s="32">
        <f>IF(A5="","","FY"&amp;(YEAR(A5)+IF(MONTH(A5)&gt;=7,1,0)))</f>
        <v/>
      </c>
      <c r="I5" s="26" t="n"/>
    </row>
    <row r="6">
      <c r="A6" s="25" t="n"/>
      <c r="B6" s="26" t="n"/>
      <c r="C6" s="28" t="n"/>
      <c r="D6" s="31" t="n"/>
      <c r="E6" s="29">
        <f>IF(C6="","",C6*N(D6)*30/70)</f>
        <v/>
      </c>
      <c r="F6" s="26" t="n"/>
      <c r="G6" s="26" t="n"/>
      <c r="H6" s="32">
        <f>IF(A6="","","FY"&amp;(YEAR(A6)+IF(MONTH(A6)&gt;=7,1,0)))</f>
        <v/>
      </c>
      <c r="I6" s="26" t="n"/>
    </row>
    <row r="7">
      <c r="A7" s="25" t="n"/>
      <c r="B7" s="26" t="n"/>
      <c r="C7" s="28" t="n"/>
      <c r="D7" s="31" t="n"/>
      <c r="E7" s="29">
        <f>IF(C7="","",C7*N(D7)*30/70)</f>
        <v/>
      </c>
      <c r="F7" s="26" t="n"/>
      <c r="G7" s="26" t="n"/>
      <c r="H7" s="32">
        <f>IF(A7="","","FY"&amp;(YEAR(A7)+IF(MONTH(A7)&gt;=7,1,0)))</f>
        <v/>
      </c>
      <c r="I7" s="26" t="n"/>
    </row>
    <row r="8">
      <c r="A8" s="25" t="n"/>
      <c r="B8" s="26" t="n"/>
      <c r="C8" s="28" t="n"/>
      <c r="D8" s="31" t="n"/>
      <c r="E8" s="29">
        <f>IF(C8="","",C8*N(D8)*30/70)</f>
        <v/>
      </c>
      <c r="F8" s="26" t="n"/>
      <c r="G8" s="26" t="n"/>
      <c r="H8" s="32">
        <f>IF(A8="","","FY"&amp;(YEAR(A8)+IF(MONTH(A8)&gt;=7,1,0)))</f>
        <v/>
      </c>
      <c r="I8" s="26" t="n"/>
    </row>
    <row r="9">
      <c r="A9" s="25" t="n"/>
      <c r="B9" s="26" t="n"/>
      <c r="C9" s="28" t="n"/>
      <c r="D9" s="31" t="n"/>
      <c r="E9" s="29">
        <f>IF(C9="","",C9*N(D9)*30/70)</f>
        <v/>
      </c>
      <c r="F9" s="26" t="n"/>
      <c r="G9" s="26" t="n"/>
      <c r="H9" s="32">
        <f>IF(A9="","","FY"&amp;(YEAR(A9)+IF(MONTH(A9)&gt;=7,1,0)))</f>
        <v/>
      </c>
      <c r="I9" s="26" t="n"/>
    </row>
    <row r="10">
      <c r="A10" s="25" t="n"/>
      <c r="B10" s="26" t="n"/>
      <c r="C10" s="28" t="n"/>
      <c r="D10" s="31" t="n"/>
      <c r="E10" s="29">
        <f>IF(C10="","",C10*N(D10)*30/70)</f>
        <v/>
      </c>
      <c r="F10" s="26" t="n"/>
      <c r="G10" s="26" t="n"/>
      <c r="H10" s="32">
        <f>IF(A10="","","FY"&amp;(YEAR(A10)+IF(MONTH(A10)&gt;=7,1,0)))</f>
        <v/>
      </c>
      <c r="I10" s="26" t="n"/>
    </row>
    <row r="11">
      <c r="A11" s="25" t="n"/>
      <c r="B11" s="26" t="n"/>
      <c r="C11" s="28" t="n"/>
      <c r="D11" s="31" t="n"/>
      <c r="E11" s="29">
        <f>IF(C11="","",C11*N(D11)*30/70)</f>
        <v/>
      </c>
      <c r="F11" s="26" t="n"/>
      <c r="G11" s="26" t="n"/>
      <c r="H11" s="32">
        <f>IF(A11="","","FY"&amp;(YEAR(A11)+IF(MONTH(A11)&gt;=7,1,0)))</f>
        <v/>
      </c>
      <c r="I11" s="26" t="n"/>
    </row>
    <row r="12">
      <c r="A12" s="25" t="n"/>
      <c r="B12" s="26" t="n"/>
      <c r="C12" s="28" t="n"/>
      <c r="D12" s="31" t="n"/>
      <c r="E12" s="29">
        <f>IF(C12="","",C12*N(D12)*30/70)</f>
        <v/>
      </c>
      <c r="F12" s="26" t="n"/>
      <c r="G12" s="26" t="n"/>
      <c r="H12" s="32">
        <f>IF(A12="","","FY"&amp;(YEAR(A12)+IF(MONTH(A12)&gt;=7,1,0)))</f>
        <v/>
      </c>
      <c r="I12" s="26" t="n"/>
    </row>
    <row r="13">
      <c r="A13" s="25" t="n"/>
      <c r="B13" s="26" t="n"/>
      <c r="C13" s="28" t="n"/>
      <c r="D13" s="31" t="n"/>
      <c r="E13" s="29">
        <f>IF(C13="","",C13*N(D13)*30/70)</f>
        <v/>
      </c>
      <c r="F13" s="26" t="n"/>
      <c r="G13" s="26" t="n"/>
      <c r="H13" s="32">
        <f>IF(A13="","","FY"&amp;(YEAR(A13)+IF(MONTH(A13)&gt;=7,1,0)))</f>
        <v/>
      </c>
      <c r="I13" s="26" t="n"/>
    </row>
    <row r="14">
      <c r="A14" s="25" t="n"/>
      <c r="B14" s="26" t="n"/>
      <c r="C14" s="28" t="n"/>
      <c r="D14" s="31" t="n"/>
      <c r="E14" s="29">
        <f>IF(C14="","",C14*N(D14)*30/70)</f>
        <v/>
      </c>
      <c r="F14" s="26" t="n"/>
      <c r="G14" s="26" t="n"/>
      <c r="H14" s="32">
        <f>IF(A14="","","FY"&amp;(YEAR(A14)+IF(MONTH(A14)&gt;=7,1,0)))</f>
        <v/>
      </c>
      <c r="I14" s="26" t="n"/>
    </row>
    <row r="15">
      <c r="A15" s="25" t="n"/>
      <c r="B15" s="26" t="n"/>
      <c r="C15" s="28" t="n"/>
      <c r="D15" s="31" t="n"/>
      <c r="E15" s="29">
        <f>IF(C15="","",C15*N(D15)*30/70)</f>
        <v/>
      </c>
      <c r="F15" s="26" t="n"/>
      <c r="G15" s="26" t="n"/>
      <c r="H15" s="32">
        <f>IF(A15="","","FY"&amp;(YEAR(A15)+IF(MONTH(A15)&gt;=7,1,0)))</f>
        <v/>
      </c>
      <c r="I15" s="26" t="n"/>
    </row>
    <row r="16">
      <c r="A16" s="25" t="n"/>
      <c r="B16" s="26" t="n"/>
      <c r="C16" s="28" t="n"/>
      <c r="D16" s="31" t="n"/>
      <c r="E16" s="29">
        <f>IF(C16="","",C16*N(D16)*30/70)</f>
        <v/>
      </c>
      <c r="F16" s="26" t="n"/>
      <c r="G16" s="26" t="n"/>
      <c r="H16" s="32">
        <f>IF(A16="","","FY"&amp;(YEAR(A16)+IF(MONTH(A16)&gt;=7,1,0)))</f>
        <v/>
      </c>
      <c r="I16" s="26" t="n"/>
    </row>
    <row r="17">
      <c r="A17" s="25" t="n"/>
      <c r="B17" s="26" t="n"/>
      <c r="C17" s="28" t="n"/>
      <c r="D17" s="31" t="n"/>
      <c r="E17" s="29">
        <f>IF(C17="","",C17*N(D17)*30/70)</f>
        <v/>
      </c>
      <c r="F17" s="26" t="n"/>
      <c r="G17" s="26" t="n"/>
      <c r="H17" s="32">
        <f>IF(A17="","","FY"&amp;(YEAR(A17)+IF(MONTH(A17)&gt;=7,1,0)))</f>
        <v/>
      </c>
      <c r="I17" s="26" t="n"/>
    </row>
    <row r="18">
      <c r="A18" s="25" t="n"/>
      <c r="B18" s="26" t="n"/>
      <c r="C18" s="28" t="n"/>
      <c r="D18" s="31" t="n"/>
      <c r="E18" s="29">
        <f>IF(C18="","",C18*N(D18)*30/70)</f>
        <v/>
      </c>
      <c r="F18" s="26" t="n"/>
      <c r="G18" s="26" t="n"/>
      <c r="H18" s="32">
        <f>IF(A18="","","FY"&amp;(YEAR(A18)+IF(MONTH(A18)&gt;=7,1,0)))</f>
        <v/>
      </c>
      <c r="I18" s="26" t="n"/>
    </row>
    <row r="19">
      <c r="A19" s="25" t="n"/>
      <c r="B19" s="26" t="n"/>
      <c r="C19" s="28" t="n"/>
      <c r="D19" s="31" t="n"/>
      <c r="E19" s="29">
        <f>IF(C19="","",C19*N(D19)*30/70)</f>
        <v/>
      </c>
      <c r="F19" s="26" t="n"/>
      <c r="G19" s="26" t="n"/>
      <c r="H19" s="32">
        <f>IF(A19="","","FY"&amp;(YEAR(A19)+IF(MONTH(A19)&gt;=7,1,0)))</f>
        <v/>
      </c>
      <c r="I19" s="26" t="n"/>
    </row>
    <row r="20">
      <c r="A20" s="25" t="n"/>
      <c r="B20" s="26" t="n"/>
      <c r="C20" s="28" t="n"/>
      <c r="D20" s="31" t="n"/>
      <c r="E20" s="29">
        <f>IF(C20="","",C20*N(D20)*30/70)</f>
        <v/>
      </c>
      <c r="F20" s="26" t="n"/>
      <c r="G20" s="26" t="n"/>
      <c r="H20" s="32">
        <f>IF(A20="","","FY"&amp;(YEAR(A20)+IF(MONTH(A20)&gt;=7,1,0)))</f>
        <v/>
      </c>
      <c r="I20" s="26" t="n"/>
    </row>
    <row r="21">
      <c r="A21" s="25" t="n"/>
      <c r="B21" s="26" t="n"/>
      <c r="C21" s="28" t="n"/>
      <c r="D21" s="31" t="n"/>
      <c r="E21" s="29">
        <f>IF(C21="","",C21*N(D21)*30/70)</f>
        <v/>
      </c>
      <c r="F21" s="26" t="n"/>
      <c r="G21" s="26" t="n"/>
      <c r="H21" s="32">
        <f>IF(A21="","","FY"&amp;(YEAR(A21)+IF(MONTH(A21)&gt;=7,1,0)))</f>
        <v/>
      </c>
      <c r="I21" s="26" t="n"/>
    </row>
    <row r="22">
      <c r="A22" s="25" t="n"/>
      <c r="B22" s="26" t="n"/>
      <c r="C22" s="28" t="n"/>
      <c r="D22" s="31" t="n"/>
      <c r="E22" s="29">
        <f>IF(C22="","",C22*N(D22)*30/70)</f>
        <v/>
      </c>
      <c r="F22" s="26" t="n"/>
      <c r="G22" s="26" t="n"/>
      <c r="H22" s="32">
        <f>IF(A22="","","FY"&amp;(YEAR(A22)+IF(MONTH(A22)&gt;=7,1,0)))</f>
        <v/>
      </c>
      <c r="I22" s="26" t="n"/>
    </row>
    <row r="23">
      <c r="A23" s="25" t="n"/>
      <c r="B23" s="26" t="n"/>
      <c r="C23" s="28" t="n"/>
      <c r="D23" s="31" t="n"/>
      <c r="E23" s="29">
        <f>IF(C23="","",C23*N(D23)*30/70)</f>
        <v/>
      </c>
      <c r="F23" s="26" t="n"/>
      <c r="G23" s="26" t="n"/>
      <c r="H23" s="32">
        <f>IF(A23="","","FY"&amp;(YEAR(A23)+IF(MONTH(A23)&gt;=7,1,0)))</f>
        <v/>
      </c>
      <c r="I23" s="26" t="n"/>
    </row>
    <row r="24">
      <c r="A24" s="25" t="n"/>
      <c r="B24" s="26" t="n"/>
      <c r="C24" s="28" t="n"/>
      <c r="D24" s="31" t="n"/>
      <c r="E24" s="29">
        <f>IF(C24="","",C24*N(D24)*30/70)</f>
        <v/>
      </c>
      <c r="F24" s="26" t="n"/>
      <c r="G24" s="26" t="n"/>
      <c r="H24" s="32">
        <f>IF(A24="","","FY"&amp;(YEAR(A24)+IF(MONTH(A24)&gt;=7,1,0)))</f>
        <v/>
      </c>
      <c r="I24" s="26" t="n"/>
    </row>
    <row r="25">
      <c r="A25" s="25" t="n"/>
      <c r="B25" s="26" t="n"/>
      <c r="C25" s="28" t="n"/>
      <c r="D25" s="31" t="n"/>
      <c r="E25" s="29">
        <f>IF(C25="","",C25*N(D25)*30/70)</f>
        <v/>
      </c>
      <c r="F25" s="26" t="n"/>
      <c r="G25" s="26" t="n"/>
      <c r="H25" s="32">
        <f>IF(A25="","","FY"&amp;(YEAR(A25)+IF(MONTH(A25)&gt;=7,1,0)))</f>
        <v/>
      </c>
      <c r="I25" s="26" t="n"/>
    </row>
    <row r="26">
      <c r="A26" s="25" t="n"/>
      <c r="B26" s="26" t="n"/>
      <c r="C26" s="28" t="n"/>
      <c r="D26" s="31" t="n"/>
      <c r="E26" s="29">
        <f>IF(C26="","",C26*N(D26)*30/70)</f>
        <v/>
      </c>
      <c r="F26" s="26" t="n"/>
      <c r="G26" s="26" t="n"/>
      <c r="H26" s="32">
        <f>IF(A26="","","FY"&amp;(YEAR(A26)+IF(MONTH(A26)&gt;=7,1,0)))</f>
        <v/>
      </c>
      <c r="I26" s="26" t="n"/>
    </row>
    <row r="27">
      <c r="A27" s="25" t="n"/>
      <c r="B27" s="26" t="n"/>
      <c r="C27" s="28" t="n"/>
      <c r="D27" s="31" t="n"/>
      <c r="E27" s="29">
        <f>IF(C27="","",C27*N(D27)*30/70)</f>
        <v/>
      </c>
      <c r="F27" s="26" t="n"/>
      <c r="G27" s="26" t="n"/>
      <c r="H27" s="32">
        <f>IF(A27="","","FY"&amp;(YEAR(A27)+IF(MONTH(A27)&gt;=7,1,0)))</f>
        <v/>
      </c>
      <c r="I27" s="26" t="n"/>
    </row>
    <row r="28">
      <c r="A28" s="25" t="n"/>
      <c r="B28" s="26" t="n"/>
      <c r="C28" s="28" t="n"/>
      <c r="D28" s="31" t="n"/>
      <c r="E28" s="29">
        <f>IF(C28="","",C28*N(D28)*30/70)</f>
        <v/>
      </c>
      <c r="F28" s="26" t="n"/>
      <c r="G28" s="26" t="n"/>
      <c r="H28" s="32">
        <f>IF(A28="","","FY"&amp;(YEAR(A28)+IF(MONTH(A28)&gt;=7,1,0)))</f>
        <v/>
      </c>
      <c r="I28" s="26" t="n"/>
    </row>
    <row r="29">
      <c r="A29" s="25" t="n"/>
      <c r="B29" s="26" t="n"/>
      <c r="C29" s="28" t="n"/>
      <c r="D29" s="31" t="n"/>
      <c r="E29" s="29">
        <f>IF(C29="","",C29*N(D29)*30/70)</f>
        <v/>
      </c>
      <c r="F29" s="26" t="n"/>
      <c r="G29" s="26" t="n"/>
      <c r="H29" s="32">
        <f>IF(A29="","","FY"&amp;(YEAR(A29)+IF(MONTH(A29)&gt;=7,1,0)))</f>
        <v/>
      </c>
      <c r="I29" s="26" t="n"/>
    </row>
    <row r="30">
      <c r="A30" s="25" t="n"/>
      <c r="B30" s="26" t="n"/>
      <c r="C30" s="28" t="n"/>
      <c r="D30" s="31" t="n"/>
      <c r="E30" s="29">
        <f>IF(C30="","",C30*N(D30)*30/70)</f>
        <v/>
      </c>
      <c r="F30" s="26" t="n"/>
      <c r="G30" s="26" t="n"/>
      <c r="H30" s="32">
        <f>IF(A30="","","FY"&amp;(YEAR(A30)+IF(MONTH(A30)&gt;=7,1,0)))</f>
        <v/>
      </c>
      <c r="I30" s="26" t="n"/>
    </row>
    <row r="31">
      <c r="A31" s="25" t="n"/>
      <c r="B31" s="26" t="n"/>
      <c r="C31" s="28" t="n"/>
      <c r="D31" s="31" t="n"/>
      <c r="E31" s="29">
        <f>IF(C31="","",C31*N(D31)*30/70)</f>
        <v/>
      </c>
      <c r="F31" s="26" t="n"/>
      <c r="G31" s="26" t="n"/>
      <c r="H31" s="32">
        <f>IF(A31="","","FY"&amp;(YEAR(A31)+IF(MONTH(A31)&gt;=7,1,0)))</f>
        <v/>
      </c>
      <c r="I31" s="26" t="n"/>
    </row>
    <row r="32">
      <c r="A32" s="25" t="n"/>
      <c r="B32" s="26" t="n"/>
      <c r="C32" s="28" t="n"/>
      <c r="D32" s="31" t="n"/>
      <c r="E32" s="29">
        <f>IF(C32="","",C32*N(D32)*30/70)</f>
        <v/>
      </c>
      <c r="F32" s="26" t="n"/>
      <c r="G32" s="26" t="n"/>
      <c r="H32" s="32">
        <f>IF(A32="","","FY"&amp;(YEAR(A32)+IF(MONTH(A32)&gt;=7,1,0)))</f>
        <v/>
      </c>
      <c r="I32" s="26" t="n"/>
    </row>
    <row r="33">
      <c r="A33" s="25" t="n"/>
      <c r="B33" s="26" t="n"/>
      <c r="C33" s="28" t="n"/>
      <c r="D33" s="31" t="n"/>
      <c r="E33" s="29">
        <f>IF(C33="","",C33*N(D33)*30/70)</f>
        <v/>
      </c>
      <c r="F33" s="26" t="n"/>
      <c r="G33" s="26" t="n"/>
      <c r="H33" s="32">
        <f>IF(A33="","","FY"&amp;(YEAR(A33)+IF(MONTH(A33)&gt;=7,1,0)))</f>
        <v/>
      </c>
      <c r="I33" s="26" t="n"/>
    </row>
    <row r="34">
      <c r="A34" s="25" t="n"/>
      <c r="B34" s="26" t="n"/>
      <c r="C34" s="28" t="n"/>
      <c r="D34" s="31" t="n"/>
      <c r="E34" s="29">
        <f>IF(C34="","",C34*N(D34)*30/70)</f>
        <v/>
      </c>
      <c r="F34" s="26" t="n"/>
      <c r="G34" s="26" t="n"/>
      <c r="H34" s="32">
        <f>IF(A34="","","FY"&amp;(YEAR(A34)+IF(MONTH(A34)&gt;=7,1,0)))</f>
        <v/>
      </c>
      <c r="I34" s="26" t="n"/>
    </row>
    <row r="35">
      <c r="A35" s="25" t="n"/>
      <c r="B35" s="26" t="n"/>
      <c r="C35" s="28" t="n"/>
      <c r="D35" s="31" t="n"/>
      <c r="E35" s="29">
        <f>IF(C35="","",C35*N(D35)*30/70)</f>
        <v/>
      </c>
      <c r="F35" s="26" t="n"/>
      <c r="G35" s="26" t="n"/>
      <c r="H35" s="32">
        <f>IF(A35="","","FY"&amp;(YEAR(A35)+IF(MONTH(A35)&gt;=7,1,0)))</f>
        <v/>
      </c>
      <c r="I35" s="26" t="n"/>
    </row>
    <row r="36">
      <c r="A36" s="25" t="n"/>
      <c r="B36" s="26" t="n"/>
      <c r="C36" s="28" t="n"/>
      <c r="D36" s="31" t="n"/>
      <c r="E36" s="29">
        <f>IF(C36="","",C36*N(D36)*30/70)</f>
        <v/>
      </c>
      <c r="F36" s="26" t="n"/>
      <c r="G36" s="26" t="n"/>
      <c r="H36" s="32">
        <f>IF(A36="","","FY"&amp;(YEAR(A36)+IF(MONTH(A36)&gt;=7,1,0)))</f>
        <v/>
      </c>
      <c r="I36" s="26" t="n"/>
    </row>
    <row r="37">
      <c r="A37" s="25" t="n"/>
      <c r="B37" s="26" t="n"/>
      <c r="C37" s="28" t="n"/>
      <c r="D37" s="31" t="n"/>
      <c r="E37" s="29">
        <f>IF(C37="","",C37*N(D37)*30/70)</f>
        <v/>
      </c>
      <c r="F37" s="26" t="n"/>
      <c r="G37" s="26" t="n"/>
      <c r="H37" s="32">
        <f>IF(A37="","","FY"&amp;(YEAR(A37)+IF(MONTH(A37)&gt;=7,1,0)))</f>
        <v/>
      </c>
      <c r="I37" s="26" t="n"/>
    </row>
    <row r="38">
      <c r="A38" s="25" t="n"/>
      <c r="B38" s="26" t="n"/>
      <c r="C38" s="28" t="n"/>
      <c r="D38" s="31" t="n"/>
      <c r="E38" s="29">
        <f>IF(C38="","",C38*N(D38)*30/70)</f>
        <v/>
      </c>
      <c r="F38" s="26" t="n"/>
      <c r="G38" s="26" t="n"/>
      <c r="H38" s="32">
        <f>IF(A38="","","FY"&amp;(YEAR(A38)+IF(MONTH(A38)&gt;=7,1,0)))</f>
        <v/>
      </c>
      <c r="I38" s="26" t="n"/>
    </row>
    <row r="39">
      <c r="A39" s="25" t="n"/>
      <c r="B39" s="26" t="n"/>
      <c r="C39" s="28" t="n"/>
      <c r="D39" s="31" t="n"/>
      <c r="E39" s="29">
        <f>IF(C39="","",C39*N(D39)*30/70)</f>
        <v/>
      </c>
      <c r="F39" s="26" t="n"/>
      <c r="G39" s="26" t="n"/>
      <c r="H39" s="32">
        <f>IF(A39="","","FY"&amp;(YEAR(A39)+IF(MONTH(A39)&gt;=7,1,0)))</f>
        <v/>
      </c>
      <c r="I39" s="26" t="n"/>
    </row>
    <row r="40">
      <c r="A40" s="25" t="n"/>
      <c r="B40" s="26" t="n"/>
      <c r="C40" s="28" t="n"/>
      <c r="D40" s="31" t="n"/>
      <c r="E40" s="29">
        <f>IF(C40="","",C40*N(D40)*30/70)</f>
        <v/>
      </c>
      <c r="F40" s="26" t="n"/>
      <c r="G40" s="26" t="n"/>
      <c r="H40" s="32">
        <f>IF(A40="","","FY"&amp;(YEAR(A40)+IF(MONTH(A40)&gt;=7,1,0)))</f>
        <v/>
      </c>
      <c r="I40" s="26" t="n"/>
    </row>
    <row r="41">
      <c r="A41" s="25" t="n"/>
      <c r="B41" s="26" t="n"/>
      <c r="C41" s="28" t="n"/>
      <c r="D41" s="31" t="n"/>
      <c r="E41" s="29">
        <f>IF(C41="","",C41*N(D41)*30/70)</f>
        <v/>
      </c>
      <c r="F41" s="26" t="n"/>
      <c r="G41" s="26" t="n"/>
      <c r="H41" s="32">
        <f>IF(A41="","","FY"&amp;(YEAR(A41)+IF(MONTH(A41)&gt;=7,1,0)))</f>
        <v/>
      </c>
      <c r="I41" s="26" t="n"/>
    </row>
    <row r="42">
      <c r="A42" s="25" t="n"/>
      <c r="B42" s="26" t="n"/>
      <c r="C42" s="28" t="n"/>
      <c r="D42" s="31" t="n"/>
      <c r="E42" s="29">
        <f>IF(C42="","",C42*N(D42)*30/70)</f>
        <v/>
      </c>
      <c r="F42" s="26" t="n"/>
      <c r="G42" s="26" t="n"/>
      <c r="H42" s="32">
        <f>IF(A42="","","FY"&amp;(YEAR(A42)+IF(MONTH(A42)&gt;=7,1,0)))</f>
        <v/>
      </c>
      <c r="I42" s="26" t="n"/>
    </row>
    <row r="43">
      <c r="A43" s="25" t="n"/>
      <c r="B43" s="26" t="n"/>
      <c r="C43" s="28" t="n"/>
      <c r="D43" s="31" t="n"/>
      <c r="E43" s="29">
        <f>IF(C43="","",C43*N(D43)*30/70)</f>
        <v/>
      </c>
      <c r="F43" s="26" t="n"/>
      <c r="G43" s="26" t="n"/>
      <c r="H43" s="32">
        <f>IF(A43="","","FY"&amp;(YEAR(A43)+IF(MONTH(A43)&gt;=7,1,0)))</f>
        <v/>
      </c>
      <c r="I43" s="26" t="n"/>
    </row>
    <row r="44">
      <c r="A44" s="25" t="n"/>
      <c r="B44" s="26" t="n"/>
      <c r="C44" s="28" t="n"/>
      <c r="D44" s="31" t="n"/>
      <c r="E44" s="29">
        <f>IF(C44="","",C44*N(D44)*30/70)</f>
        <v/>
      </c>
      <c r="F44" s="26" t="n"/>
      <c r="G44" s="26" t="n"/>
      <c r="H44" s="32">
        <f>IF(A44="","","FY"&amp;(YEAR(A44)+IF(MONTH(A44)&gt;=7,1,0)))</f>
        <v/>
      </c>
      <c r="I44" s="26" t="n"/>
    </row>
    <row r="45">
      <c r="A45" s="25" t="n"/>
      <c r="B45" s="26" t="n"/>
      <c r="C45" s="28" t="n"/>
      <c r="D45" s="31" t="n"/>
      <c r="E45" s="29">
        <f>IF(C45="","",C45*N(D45)*30/70)</f>
        <v/>
      </c>
      <c r="F45" s="26" t="n"/>
      <c r="G45" s="26" t="n"/>
      <c r="H45" s="32">
        <f>IF(A45="","","FY"&amp;(YEAR(A45)+IF(MONTH(A45)&gt;=7,1,0)))</f>
        <v/>
      </c>
      <c r="I45" s="26" t="n"/>
    </row>
    <row r="46">
      <c r="A46" s="25" t="n"/>
      <c r="B46" s="26" t="n"/>
      <c r="C46" s="28" t="n"/>
      <c r="D46" s="31" t="n"/>
      <c r="E46" s="29">
        <f>IF(C46="","",C46*N(D46)*30/70)</f>
        <v/>
      </c>
      <c r="F46" s="26" t="n"/>
      <c r="G46" s="26" t="n"/>
      <c r="H46" s="32">
        <f>IF(A46="","","FY"&amp;(YEAR(A46)+IF(MONTH(A46)&gt;=7,1,0)))</f>
        <v/>
      </c>
      <c r="I46" s="26" t="n"/>
    </row>
    <row r="47">
      <c r="A47" s="25" t="n"/>
      <c r="B47" s="26" t="n"/>
      <c r="C47" s="28" t="n"/>
      <c r="D47" s="31" t="n"/>
      <c r="E47" s="29">
        <f>IF(C47="","",C47*N(D47)*30/70)</f>
        <v/>
      </c>
      <c r="F47" s="26" t="n"/>
      <c r="G47" s="26" t="n"/>
      <c r="H47" s="32">
        <f>IF(A47="","","FY"&amp;(YEAR(A47)+IF(MONTH(A47)&gt;=7,1,0)))</f>
        <v/>
      </c>
      <c r="I47" s="26" t="n"/>
    </row>
    <row r="48">
      <c r="A48" s="25" t="n"/>
      <c r="B48" s="26" t="n"/>
      <c r="C48" s="28" t="n"/>
      <c r="D48" s="31" t="n"/>
      <c r="E48" s="29">
        <f>IF(C48="","",C48*N(D48)*30/70)</f>
        <v/>
      </c>
      <c r="F48" s="26" t="n"/>
      <c r="G48" s="26" t="n"/>
      <c r="H48" s="32">
        <f>IF(A48="","","FY"&amp;(YEAR(A48)+IF(MONTH(A48)&gt;=7,1,0)))</f>
        <v/>
      </c>
      <c r="I48" s="26" t="n"/>
    </row>
    <row r="49">
      <c r="A49" s="25" t="n"/>
      <c r="B49" s="26" t="n"/>
      <c r="C49" s="28" t="n"/>
      <c r="D49" s="31" t="n"/>
      <c r="E49" s="29">
        <f>IF(C49="","",C49*N(D49)*30/70)</f>
        <v/>
      </c>
      <c r="F49" s="26" t="n"/>
      <c r="G49" s="26" t="n"/>
      <c r="H49" s="32">
        <f>IF(A49="","","FY"&amp;(YEAR(A49)+IF(MONTH(A49)&gt;=7,1,0)))</f>
        <v/>
      </c>
      <c r="I49" s="26" t="n"/>
    </row>
    <row r="50">
      <c r="A50" s="25" t="n"/>
      <c r="B50" s="26" t="n"/>
      <c r="C50" s="28" t="n"/>
      <c r="D50" s="31" t="n"/>
      <c r="E50" s="29">
        <f>IF(C50="","",C50*N(D50)*30/70)</f>
        <v/>
      </c>
      <c r="F50" s="26" t="n"/>
      <c r="G50" s="26" t="n"/>
      <c r="H50" s="32">
        <f>IF(A50="","","FY"&amp;(YEAR(A50)+IF(MONTH(A50)&gt;=7,1,0)))</f>
        <v/>
      </c>
      <c r="I50" s="26" t="n"/>
    </row>
    <row r="51">
      <c r="A51" s="25" t="n"/>
      <c r="B51" s="26" t="n"/>
      <c r="C51" s="28" t="n"/>
      <c r="D51" s="31" t="n"/>
      <c r="E51" s="29">
        <f>IF(C51="","",C51*N(D51)*30/70)</f>
        <v/>
      </c>
      <c r="F51" s="26" t="n"/>
      <c r="G51" s="26" t="n"/>
      <c r="H51" s="32">
        <f>IF(A51="","","FY"&amp;(YEAR(A51)+IF(MONTH(A51)&gt;=7,1,0)))</f>
        <v/>
      </c>
      <c r="I51" s="26" t="n"/>
    </row>
    <row r="52">
      <c r="A52" s="25" t="n"/>
      <c r="B52" s="26" t="n"/>
      <c r="C52" s="28" t="n"/>
      <c r="D52" s="31" t="n"/>
      <c r="E52" s="29">
        <f>IF(C52="","",C52*N(D52)*30/70)</f>
        <v/>
      </c>
      <c r="F52" s="26" t="n"/>
      <c r="G52" s="26" t="n"/>
      <c r="H52" s="32">
        <f>IF(A52="","","FY"&amp;(YEAR(A52)+IF(MONTH(A52)&gt;=7,1,0)))</f>
        <v/>
      </c>
      <c r="I52" s="26" t="n"/>
    </row>
    <row r="53">
      <c r="A53" s="25" t="n"/>
      <c r="B53" s="26" t="n"/>
      <c r="C53" s="28" t="n"/>
      <c r="D53" s="31" t="n"/>
      <c r="E53" s="29">
        <f>IF(C53="","",C53*N(D53)*30/70)</f>
        <v/>
      </c>
      <c r="F53" s="26" t="n"/>
      <c r="G53" s="26" t="n"/>
      <c r="H53" s="32">
        <f>IF(A53="","","FY"&amp;(YEAR(A53)+IF(MONTH(A53)&gt;=7,1,0)))</f>
        <v/>
      </c>
      <c r="I53" s="26" t="n"/>
    </row>
    <row r="54">
      <c r="A54" s="25" t="n"/>
      <c r="B54" s="26" t="n"/>
      <c r="C54" s="28" t="n"/>
      <c r="D54" s="31" t="n"/>
      <c r="E54" s="29">
        <f>IF(C54="","",C54*N(D54)*30/70)</f>
        <v/>
      </c>
      <c r="F54" s="26" t="n"/>
      <c r="G54" s="26" t="n"/>
      <c r="H54" s="32">
        <f>IF(A54="","","FY"&amp;(YEAR(A54)+IF(MONTH(A54)&gt;=7,1,0)))</f>
        <v/>
      </c>
      <c r="I54" s="26" t="n"/>
    </row>
    <row r="55">
      <c r="A55" s="25" t="n"/>
      <c r="B55" s="26" t="n"/>
      <c r="C55" s="28" t="n"/>
      <c r="D55" s="31" t="n"/>
      <c r="E55" s="29">
        <f>IF(C55="","",C55*N(D55)*30/70)</f>
        <v/>
      </c>
      <c r="F55" s="26" t="n"/>
      <c r="G55" s="26" t="n"/>
      <c r="H55" s="32">
        <f>IF(A55="","","FY"&amp;(YEAR(A55)+IF(MONTH(A55)&gt;=7,1,0)))</f>
        <v/>
      </c>
      <c r="I55" s="26" t="n"/>
    </row>
    <row r="56">
      <c r="A56" s="25" t="n"/>
      <c r="B56" s="26" t="n"/>
      <c r="C56" s="28" t="n"/>
      <c r="D56" s="31" t="n"/>
      <c r="E56" s="29">
        <f>IF(C56="","",C56*N(D56)*30/70)</f>
        <v/>
      </c>
      <c r="F56" s="26" t="n"/>
      <c r="G56" s="26" t="n"/>
      <c r="H56" s="32">
        <f>IF(A56="","","FY"&amp;(YEAR(A56)+IF(MONTH(A56)&gt;=7,1,0)))</f>
        <v/>
      </c>
      <c r="I56" s="26" t="n"/>
    </row>
    <row r="57">
      <c r="A57" s="25" t="n"/>
      <c r="B57" s="26" t="n"/>
      <c r="C57" s="28" t="n"/>
      <c r="D57" s="31" t="n"/>
      <c r="E57" s="29">
        <f>IF(C57="","",C57*N(D57)*30/70)</f>
        <v/>
      </c>
      <c r="F57" s="26" t="n"/>
      <c r="G57" s="26" t="n"/>
      <c r="H57" s="32">
        <f>IF(A57="","","FY"&amp;(YEAR(A57)+IF(MONTH(A57)&gt;=7,1,0)))</f>
        <v/>
      </c>
      <c r="I57" s="26" t="n"/>
    </row>
    <row r="58">
      <c r="A58" s="25" t="n"/>
      <c r="B58" s="26" t="n"/>
      <c r="C58" s="28" t="n"/>
      <c r="D58" s="31" t="n"/>
      <c r="E58" s="29">
        <f>IF(C58="","",C58*N(D58)*30/70)</f>
        <v/>
      </c>
      <c r="F58" s="26" t="n"/>
      <c r="G58" s="26" t="n"/>
      <c r="H58" s="32">
        <f>IF(A58="","","FY"&amp;(YEAR(A58)+IF(MONTH(A58)&gt;=7,1,0)))</f>
        <v/>
      </c>
      <c r="I58" s="26" t="n"/>
    </row>
    <row r="59">
      <c r="A59" s="25" t="n"/>
      <c r="B59" s="26" t="n"/>
      <c r="C59" s="28" t="n"/>
      <c r="D59" s="31" t="n"/>
      <c r="E59" s="29">
        <f>IF(C59="","",C59*N(D59)*30/70)</f>
        <v/>
      </c>
      <c r="F59" s="26" t="n"/>
      <c r="G59" s="26" t="n"/>
      <c r="H59" s="32">
        <f>IF(A59="","","FY"&amp;(YEAR(A59)+IF(MONTH(A59)&gt;=7,1,0)))</f>
        <v/>
      </c>
      <c r="I59" s="26" t="n"/>
    </row>
    <row r="60">
      <c r="A60" s="25" t="n"/>
      <c r="B60" s="26" t="n"/>
      <c r="C60" s="28" t="n"/>
      <c r="D60" s="31" t="n"/>
      <c r="E60" s="29">
        <f>IF(C60="","",C60*N(D60)*30/70)</f>
        <v/>
      </c>
      <c r="F60" s="26" t="n"/>
      <c r="G60" s="26" t="n"/>
      <c r="H60" s="32">
        <f>IF(A60="","","FY"&amp;(YEAR(A60)+IF(MONTH(A60)&gt;=7,1,0)))</f>
        <v/>
      </c>
      <c r="I60" s="26" t="n"/>
    </row>
    <row r="61">
      <c r="A61" s="25" t="n"/>
      <c r="B61" s="26" t="n"/>
      <c r="C61" s="28" t="n"/>
      <c r="D61" s="31" t="n"/>
      <c r="E61" s="29">
        <f>IF(C61="","",C61*N(D61)*30/70)</f>
        <v/>
      </c>
      <c r="F61" s="26" t="n"/>
      <c r="G61" s="26" t="n"/>
      <c r="H61" s="32">
        <f>IF(A61="","","FY"&amp;(YEAR(A61)+IF(MONTH(A61)&gt;=7,1,0)))</f>
        <v/>
      </c>
      <c r="I61" s="26" t="n"/>
    </row>
    <row r="62">
      <c r="A62" s="25" t="n"/>
      <c r="B62" s="26" t="n"/>
      <c r="C62" s="28" t="n"/>
      <c r="D62" s="31" t="n"/>
      <c r="E62" s="29">
        <f>IF(C62="","",C62*N(D62)*30/70)</f>
        <v/>
      </c>
      <c r="F62" s="26" t="n"/>
      <c r="G62" s="26" t="n"/>
      <c r="H62" s="32">
        <f>IF(A62="","","FY"&amp;(YEAR(A62)+IF(MONTH(A62)&gt;=7,1,0)))</f>
        <v/>
      </c>
      <c r="I62" s="26" t="n"/>
    </row>
    <row r="63">
      <c r="A63" s="25" t="n"/>
      <c r="B63" s="26" t="n"/>
      <c r="C63" s="28" t="n"/>
      <c r="D63" s="31" t="n"/>
      <c r="E63" s="29">
        <f>IF(C63="","",C63*N(D63)*30/70)</f>
        <v/>
      </c>
      <c r="F63" s="26" t="n"/>
      <c r="G63" s="26" t="n"/>
      <c r="H63" s="32">
        <f>IF(A63="","","FY"&amp;(YEAR(A63)+IF(MONTH(A63)&gt;=7,1,0)))</f>
        <v/>
      </c>
      <c r="I63" s="26" t="n"/>
    </row>
    <row r="64">
      <c r="A64" s="25" t="n"/>
      <c r="B64" s="26" t="n"/>
      <c r="C64" s="28" t="n"/>
      <c r="D64" s="31" t="n"/>
      <c r="E64" s="29">
        <f>IF(C64="","",C64*N(D64)*30/70)</f>
        <v/>
      </c>
      <c r="F64" s="26" t="n"/>
      <c r="G64" s="26" t="n"/>
      <c r="H64" s="32">
        <f>IF(A64="","","FY"&amp;(YEAR(A64)+IF(MONTH(A64)&gt;=7,1,0)))</f>
        <v/>
      </c>
      <c r="I64" s="26" t="n"/>
    </row>
    <row r="65">
      <c r="A65" s="25" t="n"/>
      <c r="B65" s="26" t="n"/>
      <c r="C65" s="28" t="n"/>
      <c r="D65" s="31" t="n"/>
      <c r="E65" s="29">
        <f>IF(C65="","",C65*N(D65)*30/70)</f>
        <v/>
      </c>
      <c r="F65" s="26" t="n"/>
      <c r="G65" s="26" t="n"/>
      <c r="H65" s="32">
        <f>IF(A65="","","FY"&amp;(YEAR(A65)+IF(MONTH(A65)&gt;=7,1,0)))</f>
        <v/>
      </c>
      <c r="I65" s="26" t="n"/>
    </row>
    <row r="66">
      <c r="A66" s="25" t="n"/>
      <c r="B66" s="26" t="n"/>
      <c r="C66" s="28" t="n"/>
      <c r="D66" s="31" t="n"/>
      <c r="E66" s="29">
        <f>IF(C66="","",C66*N(D66)*30/70)</f>
        <v/>
      </c>
      <c r="F66" s="26" t="n"/>
      <c r="G66" s="26" t="n"/>
      <c r="H66" s="32">
        <f>IF(A66="","","FY"&amp;(YEAR(A66)+IF(MONTH(A66)&gt;=7,1,0)))</f>
        <v/>
      </c>
      <c r="I66" s="26" t="n"/>
    </row>
    <row r="67">
      <c r="A67" s="25" t="n"/>
      <c r="B67" s="26" t="n"/>
      <c r="C67" s="28" t="n"/>
      <c r="D67" s="31" t="n"/>
      <c r="E67" s="29">
        <f>IF(C67="","",C67*N(D67)*30/70)</f>
        <v/>
      </c>
      <c r="F67" s="26" t="n"/>
      <c r="G67" s="26" t="n"/>
      <c r="H67" s="32">
        <f>IF(A67="","","FY"&amp;(YEAR(A67)+IF(MONTH(A67)&gt;=7,1,0)))</f>
        <v/>
      </c>
      <c r="I67" s="26" t="n"/>
    </row>
    <row r="68">
      <c r="A68" s="25" t="n"/>
      <c r="B68" s="26" t="n"/>
      <c r="C68" s="28" t="n"/>
      <c r="D68" s="31" t="n"/>
      <c r="E68" s="29">
        <f>IF(C68="","",C68*N(D68)*30/70)</f>
        <v/>
      </c>
      <c r="F68" s="26" t="n"/>
      <c r="G68" s="26" t="n"/>
      <c r="H68" s="32">
        <f>IF(A68="","","FY"&amp;(YEAR(A68)+IF(MONTH(A68)&gt;=7,1,0)))</f>
        <v/>
      </c>
      <c r="I68" s="26" t="n"/>
    </row>
    <row r="69">
      <c r="A69" s="25" t="n"/>
      <c r="B69" s="26" t="n"/>
      <c r="C69" s="28" t="n"/>
      <c r="D69" s="31" t="n"/>
      <c r="E69" s="29">
        <f>IF(C69="","",C69*N(D69)*30/70)</f>
        <v/>
      </c>
      <c r="F69" s="26" t="n"/>
      <c r="G69" s="26" t="n"/>
      <c r="H69" s="32">
        <f>IF(A69="","","FY"&amp;(YEAR(A69)+IF(MONTH(A69)&gt;=7,1,0)))</f>
        <v/>
      </c>
      <c r="I69" s="26" t="n"/>
    </row>
    <row r="70">
      <c r="A70" s="25" t="n"/>
      <c r="B70" s="26" t="n"/>
      <c r="C70" s="28" t="n"/>
      <c r="D70" s="31" t="n"/>
      <c r="E70" s="29">
        <f>IF(C70="","",C70*N(D70)*30/70)</f>
        <v/>
      </c>
      <c r="F70" s="26" t="n"/>
      <c r="G70" s="26" t="n"/>
      <c r="H70" s="32">
        <f>IF(A70="","","FY"&amp;(YEAR(A70)+IF(MONTH(A70)&gt;=7,1,0)))</f>
        <v/>
      </c>
      <c r="I70" s="26" t="n"/>
    </row>
    <row r="71">
      <c r="A71" s="25" t="n"/>
      <c r="B71" s="26" t="n"/>
      <c r="C71" s="28" t="n"/>
      <c r="D71" s="31" t="n"/>
      <c r="E71" s="29">
        <f>IF(C71="","",C71*N(D71)*30/70)</f>
        <v/>
      </c>
      <c r="F71" s="26" t="n"/>
      <c r="G71" s="26" t="n"/>
      <c r="H71" s="32">
        <f>IF(A71="","","FY"&amp;(YEAR(A71)+IF(MONTH(A71)&gt;=7,1,0)))</f>
        <v/>
      </c>
      <c r="I71" s="26" t="n"/>
    </row>
    <row r="72">
      <c r="A72" s="25" t="n"/>
      <c r="B72" s="26" t="n"/>
      <c r="C72" s="28" t="n"/>
      <c r="D72" s="31" t="n"/>
      <c r="E72" s="29">
        <f>IF(C72="","",C72*N(D72)*30/70)</f>
        <v/>
      </c>
      <c r="F72" s="26" t="n"/>
      <c r="G72" s="26" t="n"/>
      <c r="H72" s="32">
        <f>IF(A72="","","FY"&amp;(YEAR(A72)+IF(MONTH(A72)&gt;=7,1,0)))</f>
        <v/>
      </c>
      <c r="I72" s="26" t="n"/>
    </row>
    <row r="73">
      <c r="A73" s="25" t="n"/>
      <c r="B73" s="26" t="n"/>
      <c r="C73" s="28" t="n"/>
      <c r="D73" s="31" t="n"/>
      <c r="E73" s="29">
        <f>IF(C73="","",C73*N(D73)*30/70)</f>
        <v/>
      </c>
      <c r="F73" s="26" t="n"/>
      <c r="G73" s="26" t="n"/>
      <c r="H73" s="32">
        <f>IF(A73="","","FY"&amp;(YEAR(A73)+IF(MONTH(A73)&gt;=7,1,0)))</f>
        <v/>
      </c>
      <c r="I73" s="26" t="n"/>
    </row>
    <row r="74">
      <c r="A74" s="25" t="n"/>
      <c r="B74" s="26" t="n"/>
      <c r="C74" s="28" t="n"/>
      <c r="D74" s="31" t="n"/>
      <c r="E74" s="29">
        <f>IF(C74="","",C74*N(D74)*30/70)</f>
        <v/>
      </c>
      <c r="F74" s="26" t="n"/>
      <c r="G74" s="26" t="n"/>
      <c r="H74" s="32">
        <f>IF(A74="","","FY"&amp;(YEAR(A74)+IF(MONTH(A74)&gt;=7,1,0)))</f>
        <v/>
      </c>
      <c r="I74" s="26" t="n"/>
    </row>
    <row r="75">
      <c r="A75" s="25" t="n"/>
      <c r="B75" s="26" t="n"/>
      <c r="C75" s="28" t="n"/>
      <c r="D75" s="31" t="n"/>
      <c r="E75" s="29">
        <f>IF(C75="","",C75*N(D75)*30/70)</f>
        <v/>
      </c>
      <c r="F75" s="26" t="n"/>
      <c r="G75" s="26" t="n"/>
      <c r="H75" s="32">
        <f>IF(A75="","","FY"&amp;(YEAR(A75)+IF(MONTH(A75)&gt;=7,1,0)))</f>
        <v/>
      </c>
      <c r="I75" s="26" t="n"/>
    </row>
    <row r="76">
      <c r="A76" s="25" t="n"/>
      <c r="B76" s="26" t="n"/>
      <c r="C76" s="28" t="n"/>
      <c r="D76" s="31" t="n"/>
      <c r="E76" s="29">
        <f>IF(C76="","",C76*N(D76)*30/70)</f>
        <v/>
      </c>
      <c r="F76" s="26" t="n"/>
      <c r="G76" s="26" t="n"/>
      <c r="H76" s="32">
        <f>IF(A76="","","FY"&amp;(YEAR(A76)+IF(MONTH(A76)&gt;=7,1,0)))</f>
        <v/>
      </c>
      <c r="I76" s="26" t="n"/>
    </row>
    <row r="77">
      <c r="A77" s="25" t="n"/>
      <c r="B77" s="26" t="n"/>
      <c r="C77" s="28" t="n"/>
      <c r="D77" s="31" t="n"/>
      <c r="E77" s="29">
        <f>IF(C77="","",C77*N(D77)*30/70)</f>
        <v/>
      </c>
      <c r="F77" s="26" t="n"/>
      <c r="G77" s="26" t="n"/>
      <c r="H77" s="32">
        <f>IF(A77="","","FY"&amp;(YEAR(A77)+IF(MONTH(A77)&gt;=7,1,0)))</f>
        <v/>
      </c>
      <c r="I77" s="26" t="n"/>
    </row>
    <row r="78">
      <c r="A78" s="25" t="n"/>
      <c r="B78" s="26" t="n"/>
      <c r="C78" s="28" t="n"/>
      <c r="D78" s="31" t="n"/>
      <c r="E78" s="29">
        <f>IF(C78="","",C78*N(D78)*30/70)</f>
        <v/>
      </c>
      <c r="F78" s="26" t="n"/>
      <c r="G78" s="26" t="n"/>
      <c r="H78" s="32">
        <f>IF(A78="","","FY"&amp;(YEAR(A78)+IF(MONTH(A78)&gt;=7,1,0)))</f>
        <v/>
      </c>
      <c r="I78" s="26" t="n"/>
    </row>
    <row r="79">
      <c r="A79" s="25" t="n"/>
      <c r="B79" s="26" t="n"/>
      <c r="C79" s="28" t="n"/>
      <c r="D79" s="31" t="n"/>
      <c r="E79" s="29">
        <f>IF(C79="","",C79*N(D79)*30/70)</f>
        <v/>
      </c>
      <c r="F79" s="26" t="n"/>
      <c r="G79" s="26" t="n"/>
      <c r="H79" s="32">
        <f>IF(A79="","","FY"&amp;(YEAR(A79)+IF(MONTH(A79)&gt;=7,1,0)))</f>
        <v/>
      </c>
      <c r="I79" s="26" t="n"/>
    </row>
    <row r="80">
      <c r="A80" s="25" t="n"/>
      <c r="B80" s="26" t="n"/>
      <c r="C80" s="28" t="n"/>
      <c r="D80" s="31" t="n"/>
      <c r="E80" s="29">
        <f>IF(C80="","",C80*N(D80)*30/70)</f>
        <v/>
      </c>
      <c r="F80" s="26" t="n"/>
      <c r="G80" s="26" t="n"/>
      <c r="H80" s="32">
        <f>IF(A80="","","FY"&amp;(YEAR(A80)+IF(MONTH(A80)&gt;=7,1,0)))</f>
        <v/>
      </c>
      <c r="I80" s="26" t="n"/>
    </row>
    <row r="81">
      <c r="A81" s="25" t="n"/>
      <c r="B81" s="26" t="n"/>
      <c r="C81" s="28" t="n"/>
      <c r="D81" s="31" t="n"/>
      <c r="E81" s="29">
        <f>IF(C81="","",C81*N(D81)*30/70)</f>
        <v/>
      </c>
      <c r="F81" s="26" t="n"/>
      <c r="G81" s="26" t="n"/>
      <c r="H81" s="32">
        <f>IF(A81="","","FY"&amp;(YEAR(A81)+IF(MONTH(A81)&gt;=7,1,0)))</f>
        <v/>
      </c>
      <c r="I81" s="26" t="n"/>
    </row>
    <row r="82">
      <c r="A82" s="25" t="n"/>
      <c r="B82" s="26" t="n"/>
      <c r="C82" s="28" t="n"/>
      <c r="D82" s="31" t="n"/>
      <c r="E82" s="29">
        <f>IF(C82="","",C82*N(D82)*30/70)</f>
        <v/>
      </c>
      <c r="F82" s="26" t="n"/>
      <c r="G82" s="26" t="n"/>
      <c r="H82" s="32">
        <f>IF(A82="","","FY"&amp;(YEAR(A82)+IF(MONTH(A82)&gt;=7,1,0)))</f>
        <v/>
      </c>
      <c r="I82" s="26" t="n"/>
    </row>
    <row r="83">
      <c r="A83" s="25" t="n"/>
      <c r="B83" s="26" t="n"/>
      <c r="C83" s="28" t="n"/>
      <c r="D83" s="31" t="n"/>
      <c r="E83" s="29">
        <f>IF(C83="","",C83*N(D83)*30/70)</f>
        <v/>
      </c>
      <c r="F83" s="26" t="n"/>
      <c r="G83" s="26" t="n"/>
      <c r="H83" s="32">
        <f>IF(A83="","","FY"&amp;(YEAR(A83)+IF(MONTH(A83)&gt;=7,1,0)))</f>
        <v/>
      </c>
      <c r="I83" s="26" t="n"/>
    </row>
    <row r="84">
      <c r="A84" s="25" t="n"/>
      <c r="B84" s="26" t="n"/>
      <c r="C84" s="28" t="n"/>
      <c r="D84" s="31" t="n"/>
      <c r="E84" s="29">
        <f>IF(C84="","",C84*N(D84)*30/70)</f>
        <v/>
      </c>
      <c r="F84" s="26" t="n"/>
      <c r="G84" s="26" t="n"/>
      <c r="H84" s="32">
        <f>IF(A84="","","FY"&amp;(YEAR(A84)+IF(MONTH(A84)&gt;=7,1,0)))</f>
        <v/>
      </c>
      <c r="I84" s="26" t="n"/>
    </row>
    <row r="85">
      <c r="A85" s="25" t="n"/>
      <c r="B85" s="26" t="n"/>
      <c r="C85" s="28" t="n"/>
      <c r="D85" s="31" t="n"/>
      <c r="E85" s="29">
        <f>IF(C85="","",C85*N(D85)*30/70)</f>
        <v/>
      </c>
      <c r="F85" s="26" t="n"/>
      <c r="G85" s="26" t="n"/>
      <c r="H85" s="32">
        <f>IF(A85="","","FY"&amp;(YEAR(A85)+IF(MONTH(A85)&gt;=7,1,0)))</f>
        <v/>
      </c>
      <c r="I85" s="26" t="n"/>
    </row>
    <row r="86">
      <c r="A86" s="25" t="n"/>
      <c r="B86" s="26" t="n"/>
      <c r="C86" s="28" t="n"/>
      <c r="D86" s="31" t="n"/>
      <c r="E86" s="29">
        <f>IF(C86="","",C86*N(D86)*30/70)</f>
        <v/>
      </c>
      <c r="F86" s="26" t="n"/>
      <c r="G86" s="26" t="n"/>
      <c r="H86" s="32">
        <f>IF(A86="","","FY"&amp;(YEAR(A86)+IF(MONTH(A86)&gt;=7,1,0)))</f>
        <v/>
      </c>
      <c r="I86" s="26" t="n"/>
    </row>
    <row r="87">
      <c r="A87" s="25" t="n"/>
      <c r="B87" s="26" t="n"/>
      <c r="C87" s="28" t="n"/>
      <c r="D87" s="31" t="n"/>
      <c r="E87" s="29">
        <f>IF(C87="","",C87*N(D87)*30/70)</f>
        <v/>
      </c>
      <c r="F87" s="26" t="n"/>
      <c r="G87" s="26" t="n"/>
      <c r="H87" s="32">
        <f>IF(A87="","","FY"&amp;(YEAR(A87)+IF(MONTH(A87)&gt;=7,1,0)))</f>
        <v/>
      </c>
      <c r="I87" s="26" t="n"/>
    </row>
    <row r="88">
      <c r="A88" s="25" t="n"/>
      <c r="B88" s="26" t="n"/>
      <c r="C88" s="28" t="n"/>
      <c r="D88" s="31" t="n"/>
      <c r="E88" s="29">
        <f>IF(C88="","",C88*N(D88)*30/70)</f>
        <v/>
      </c>
      <c r="F88" s="26" t="n"/>
      <c r="G88" s="26" t="n"/>
      <c r="H88" s="32">
        <f>IF(A88="","","FY"&amp;(YEAR(A88)+IF(MONTH(A88)&gt;=7,1,0)))</f>
        <v/>
      </c>
      <c r="I88" s="26" t="n"/>
    </row>
    <row r="89">
      <c r="A89" s="25" t="n"/>
      <c r="B89" s="26" t="n"/>
      <c r="C89" s="28" t="n"/>
      <c r="D89" s="31" t="n"/>
      <c r="E89" s="29">
        <f>IF(C89="","",C89*N(D89)*30/70)</f>
        <v/>
      </c>
      <c r="F89" s="26" t="n"/>
      <c r="G89" s="26" t="n"/>
      <c r="H89" s="32">
        <f>IF(A89="","","FY"&amp;(YEAR(A89)+IF(MONTH(A89)&gt;=7,1,0)))</f>
        <v/>
      </c>
      <c r="I89" s="26" t="n"/>
    </row>
    <row r="90">
      <c r="A90" s="25" t="n"/>
      <c r="B90" s="26" t="n"/>
      <c r="C90" s="28" t="n"/>
      <c r="D90" s="31" t="n"/>
      <c r="E90" s="29">
        <f>IF(C90="","",C90*N(D90)*30/70)</f>
        <v/>
      </c>
      <c r="F90" s="26" t="n"/>
      <c r="G90" s="26" t="n"/>
      <c r="H90" s="32">
        <f>IF(A90="","","FY"&amp;(YEAR(A90)+IF(MONTH(A90)&gt;=7,1,0)))</f>
        <v/>
      </c>
      <c r="I90" s="26" t="n"/>
    </row>
    <row r="91">
      <c r="A91" s="25" t="n"/>
      <c r="B91" s="26" t="n"/>
      <c r="C91" s="28" t="n"/>
      <c r="D91" s="31" t="n"/>
      <c r="E91" s="29">
        <f>IF(C91="","",C91*N(D91)*30/70)</f>
        <v/>
      </c>
      <c r="F91" s="26" t="n"/>
      <c r="G91" s="26" t="n"/>
      <c r="H91" s="32">
        <f>IF(A91="","","FY"&amp;(YEAR(A91)+IF(MONTH(A91)&gt;=7,1,0)))</f>
        <v/>
      </c>
      <c r="I91" s="26" t="n"/>
    </row>
    <row r="92">
      <c r="A92" s="25" t="n"/>
      <c r="B92" s="26" t="n"/>
      <c r="C92" s="28" t="n"/>
      <c r="D92" s="31" t="n"/>
      <c r="E92" s="29">
        <f>IF(C92="","",C92*N(D92)*30/70)</f>
        <v/>
      </c>
      <c r="F92" s="26" t="n"/>
      <c r="G92" s="26" t="n"/>
      <c r="H92" s="32">
        <f>IF(A92="","","FY"&amp;(YEAR(A92)+IF(MONTH(A92)&gt;=7,1,0)))</f>
        <v/>
      </c>
      <c r="I92" s="26" t="n"/>
    </row>
    <row r="93">
      <c r="A93" s="25" t="n"/>
      <c r="B93" s="26" t="n"/>
      <c r="C93" s="28" t="n"/>
      <c r="D93" s="31" t="n"/>
      <c r="E93" s="29">
        <f>IF(C93="","",C93*N(D93)*30/70)</f>
        <v/>
      </c>
      <c r="F93" s="26" t="n"/>
      <c r="G93" s="26" t="n"/>
      <c r="H93" s="32">
        <f>IF(A93="","","FY"&amp;(YEAR(A93)+IF(MONTH(A93)&gt;=7,1,0)))</f>
        <v/>
      </c>
      <c r="I93" s="26" t="n"/>
    </row>
    <row r="94">
      <c r="A94" s="25" t="n"/>
      <c r="B94" s="26" t="n"/>
      <c r="C94" s="28" t="n"/>
      <c r="D94" s="31" t="n"/>
      <c r="E94" s="29">
        <f>IF(C94="","",C94*N(D94)*30/70)</f>
        <v/>
      </c>
      <c r="F94" s="26" t="n"/>
      <c r="G94" s="26" t="n"/>
      <c r="H94" s="32">
        <f>IF(A94="","","FY"&amp;(YEAR(A94)+IF(MONTH(A94)&gt;=7,1,0)))</f>
        <v/>
      </c>
      <c r="I94" s="26" t="n"/>
    </row>
    <row r="95">
      <c r="A95" s="25" t="n"/>
      <c r="B95" s="26" t="n"/>
      <c r="C95" s="28" t="n"/>
      <c r="D95" s="31" t="n"/>
      <c r="E95" s="29">
        <f>IF(C95="","",C95*N(D95)*30/70)</f>
        <v/>
      </c>
      <c r="F95" s="26" t="n"/>
      <c r="G95" s="26" t="n"/>
      <c r="H95" s="32">
        <f>IF(A95="","","FY"&amp;(YEAR(A95)+IF(MONTH(A95)&gt;=7,1,0)))</f>
        <v/>
      </c>
      <c r="I95" s="26" t="n"/>
    </row>
    <row r="96">
      <c r="A96" s="25" t="n"/>
      <c r="B96" s="26" t="n"/>
      <c r="C96" s="28" t="n"/>
      <c r="D96" s="31" t="n"/>
      <c r="E96" s="29">
        <f>IF(C96="","",C96*N(D96)*30/70)</f>
        <v/>
      </c>
      <c r="F96" s="26" t="n"/>
      <c r="G96" s="26" t="n"/>
      <c r="H96" s="32">
        <f>IF(A96="","","FY"&amp;(YEAR(A96)+IF(MONTH(A96)&gt;=7,1,0)))</f>
        <v/>
      </c>
      <c r="I96" s="26" t="n"/>
    </row>
    <row r="97">
      <c r="A97" s="25" t="n"/>
      <c r="B97" s="26" t="n"/>
      <c r="C97" s="28" t="n"/>
      <c r="D97" s="31" t="n"/>
      <c r="E97" s="29">
        <f>IF(C97="","",C97*N(D97)*30/70)</f>
        <v/>
      </c>
      <c r="F97" s="26" t="n"/>
      <c r="G97" s="26" t="n"/>
      <c r="H97" s="32">
        <f>IF(A97="","","FY"&amp;(YEAR(A97)+IF(MONTH(A97)&gt;=7,1,0)))</f>
        <v/>
      </c>
      <c r="I97" s="26" t="n"/>
    </row>
    <row r="98">
      <c r="A98" s="25" t="n"/>
      <c r="B98" s="26" t="n"/>
      <c r="C98" s="28" t="n"/>
      <c r="D98" s="31" t="n"/>
      <c r="E98" s="29">
        <f>IF(C98="","",C98*N(D98)*30/70)</f>
        <v/>
      </c>
      <c r="F98" s="26" t="n"/>
      <c r="G98" s="26" t="n"/>
      <c r="H98" s="32">
        <f>IF(A98="","","FY"&amp;(YEAR(A98)+IF(MONTH(A98)&gt;=7,1,0)))</f>
        <v/>
      </c>
      <c r="I98" s="26" t="n"/>
    </row>
    <row r="99">
      <c r="A99" s="25" t="n"/>
      <c r="B99" s="26" t="n"/>
      <c r="C99" s="28" t="n"/>
      <c r="D99" s="31" t="n"/>
      <c r="E99" s="29">
        <f>IF(C99="","",C99*N(D99)*30/70)</f>
        <v/>
      </c>
      <c r="F99" s="26" t="n"/>
      <c r="G99" s="26" t="n"/>
      <c r="H99" s="32">
        <f>IF(A99="","","FY"&amp;(YEAR(A99)+IF(MONTH(A99)&gt;=7,1,0)))</f>
        <v/>
      </c>
      <c r="I99" s="26" t="n"/>
    </row>
    <row r="100">
      <c r="A100" s="25" t="n"/>
      <c r="B100" s="26" t="n"/>
      <c r="C100" s="28" t="n"/>
      <c r="D100" s="31" t="n"/>
      <c r="E100" s="29">
        <f>IF(C100="","",C100*N(D100)*30/70)</f>
        <v/>
      </c>
      <c r="F100" s="26" t="n"/>
      <c r="G100" s="26" t="n"/>
      <c r="H100" s="32">
        <f>IF(A100="","","FY"&amp;(YEAR(A100)+IF(MONTH(A100)&gt;=7,1,0)))</f>
        <v/>
      </c>
      <c r="I100" s="26" t="n"/>
    </row>
    <row r="101">
      <c r="A101" s="25" t="n"/>
      <c r="B101" s="26" t="n"/>
      <c r="C101" s="28" t="n"/>
      <c r="D101" s="31" t="n"/>
      <c r="E101" s="29">
        <f>IF(C101="","",C101*N(D101)*30/70)</f>
        <v/>
      </c>
      <c r="F101" s="26" t="n"/>
      <c r="G101" s="26" t="n"/>
      <c r="H101" s="32">
        <f>IF(A101="","","FY"&amp;(YEAR(A101)+IF(MONTH(A101)&gt;=7,1,0)))</f>
        <v/>
      </c>
      <c r="I101" s="26" t="n"/>
    </row>
    <row r="102">
      <c r="A102" s="25" t="n"/>
      <c r="B102" s="26" t="n"/>
      <c r="C102" s="28" t="n"/>
      <c r="D102" s="31" t="n"/>
      <c r="E102" s="29">
        <f>IF(C102="","",C102*N(D102)*30/70)</f>
        <v/>
      </c>
      <c r="F102" s="26" t="n"/>
      <c r="G102" s="26" t="n"/>
      <c r="H102" s="32">
        <f>IF(A102="","","FY"&amp;(YEAR(A102)+IF(MONTH(A102)&gt;=7,1,0)))</f>
        <v/>
      </c>
      <c r="I102" s="26" t="n"/>
    </row>
    <row r="103">
      <c r="A103" s="25" t="n"/>
      <c r="B103" s="26" t="n"/>
      <c r="C103" s="28" t="n"/>
      <c r="D103" s="31" t="n"/>
      <c r="E103" s="29">
        <f>IF(C103="","",C103*N(D103)*30/70)</f>
        <v/>
      </c>
      <c r="F103" s="26" t="n"/>
      <c r="G103" s="26" t="n"/>
      <c r="H103" s="32">
        <f>IF(A103="","","FY"&amp;(YEAR(A103)+IF(MONTH(A103)&gt;=7,1,0)))</f>
        <v/>
      </c>
      <c r="I103" s="26" t="n"/>
    </row>
    <row r="104">
      <c r="A104" s="25" t="n"/>
      <c r="B104" s="26" t="n"/>
      <c r="C104" s="28" t="n"/>
      <c r="D104" s="31" t="n"/>
      <c r="E104" s="29">
        <f>IF(C104="","",C104*N(D104)*30/70)</f>
        <v/>
      </c>
      <c r="F104" s="26" t="n"/>
      <c r="G104" s="26" t="n"/>
      <c r="H104" s="32">
        <f>IF(A104="","","FY"&amp;(YEAR(A104)+IF(MONTH(A104)&gt;=7,1,0)))</f>
        <v/>
      </c>
      <c r="I104" s="26" t="n"/>
    </row>
    <row r="105">
      <c r="A105" s="25" t="n"/>
      <c r="B105" s="26" t="n"/>
      <c r="C105" s="28" t="n"/>
      <c r="D105" s="31" t="n"/>
      <c r="E105" s="29">
        <f>IF(C105="","",C105*N(D105)*30/70)</f>
        <v/>
      </c>
      <c r="F105" s="26" t="n"/>
      <c r="G105" s="26" t="n"/>
      <c r="H105" s="32">
        <f>IF(A105="","","FY"&amp;(YEAR(A105)+IF(MONTH(A105)&gt;=7,1,0)))</f>
        <v/>
      </c>
      <c r="I105" s="26" t="n"/>
    </row>
    <row r="106">
      <c r="A106" s="25" t="n"/>
      <c r="B106" s="26" t="n"/>
      <c r="C106" s="28" t="n"/>
      <c r="D106" s="31" t="n"/>
      <c r="E106" s="29">
        <f>IF(C106="","",C106*N(D106)*30/70)</f>
        <v/>
      </c>
      <c r="F106" s="26" t="n"/>
      <c r="G106" s="26" t="n"/>
      <c r="H106" s="32">
        <f>IF(A106="","","FY"&amp;(YEAR(A106)+IF(MONTH(A106)&gt;=7,1,0)))</f>
        <v/>
      </c>
      <c r="I106" s="26" t="n"/>
    </row>
    <row r="107">
      <c r="A107" s="25" t="n"/>
      <c r="B107" s="26" t="n"/>
      <c r="C107" s="28" t="n"/>
      <c r="D107" s="31" t="n"/>
      <c r="E107" s="29">
        <f>IF(C107="","",C107*N(D107)*30/70)</f>
        <v/>
      </c>
      <c r="F107" s="26" t="n"/>
      <c r="G107" s="26" t="n"/>
      <c r="H107" s="32">
        <f>IF(A107="","","FY"&amp;(YEAR(A107)+IF(MONTH(A107)&gt;=7,1,0)))</f>
        <v/>
      </c>
      <c r="I107" s="26" t="n"/>
    </row>
    <row r="108">
      <c r="A108" s="25" t="n"/>
      <c r="B108" s="26" t="n"/>
      <c r="C108" s="28" t="n"/>
      <c r="D108" s="31" t="n"/>
      <c r="E108" s="29">
        <f>IF(C108="","",C108*N(D108)*30/70)</f>
        <v/>
      </c>
      <c r="F108" s="26" t="n"/>
      <c r="G108" s="26" t="n"/>
      <c r="H108" s="32">
        <f>IF(A108="","","FY"&amp;(YEAR(A108)+IF(MONTH(A108)&gt;=7,1,0)))</f>
        <v/>
      </c>
      <c r="I108" s="26" t="n"/>
    </row>
    <row r="109">
      <c r="A109" s="25" t="n"/>
      <c r="B109" s="26" t="n"/>
      <c r="C109" s="28" t="n"/>
      <c r="D109" s="31" t="n"/>
      <c r="E109" s="29">
        <f>IF(C109="","",C109*N(D109)*30/70)</f>
        <v/>
      </c>
      <c r="F109" s="26" t="n"/>
      <c r="G109" s="26" t="n"/>
      <c r="H109" s="32">
        <f>IF(A109="","","FY"&amp;(YEAR(A109)+IF(MONTH(A109)&gt;=7,1,0)))</f>
        <v/>
      </c>
      <c r="I109" s="26" t="n"/>
    </row>
    <row r="110">
      <c r="A110" s="25" t="n"/>
      <c r="B110" s="26" t="n"/>
      <c r="C110" s="28" t="n"/>
      <c r="D110" s="31" t="n"/>
      <c r="E110" s="29">
        <f>IF(C110="","",C110*N(D110)*30/70)</f>
        <v/>
      </c>
      <c r="F110" s="26" t="n"/>
      <c r="G110" s="26" t="n"/>
      <c r="H110" s="32">
        <f>IF(A110="","","FY"&amp;(YEAR(A110)+IF(MONTH(A110)&gt;=7,1,0)))</f>
        <v/>
      </c>
      <c r="I110" s="26" t="n"/>
    </row>
    <row r="111">
      <c r="A111" s="25" t="n"/>
      <c r="B111" s="26" t="n"/>
      <c r="C111" s="28" t="n"/>
      <c r="D111" s="31" t="n"/>
      <c r="E111" s="29">
        <f>IF(C111="","",C111*N(D111)*30/70)</f>
        <v/>
      </c>
      <c r="F111" s="26" t="n"/>
      <c r="G111" s="26" t="n"/>
      <c r="H111" s="32">
        <f>IF(A111="","","FY"&amp;(YEAR(A111)+IF(MONTH(A111)&gt;=7,1,0)))</f>
        <v/>
      </c>
      <c r="I111" s="26" t="n"/>
    </row>
    <row r="112">
      <c r="A112" s="25" t="n"/>
      <c r="B112" s="26" t="n"/>
      <c r="C112" s="28" t="n"/>
      <c r="D112" s="31" t="n"/>
      <c r="E112" s="29">
        <f>IF(C112="","",C112*N(D112)*30/70)</f>
        <v/>
      </c>
      <c r="F112" s="26" t="n"/>
      <c r="G112" s="26" t="n"/>
      <c r="H112" s="32">
        <f>IF(A112="","","FY"&amp;(YEAR(A112)+IF(MONTH(A112)&gt;=7,1,0)))</f>
        <v/>
      </c>
      <c r="I112" s="26" t="n"/>
    </row>
    <row r="113">
      <c r="A113" s="25" t="n"/>
      <c r="B113" s="26" t="n"/>
      <c r="C113" s="28" t="n"/>
      <c r="D113" s="31" t="n"/>
      <c r="E113" s="29">
        <f>IF(C113="","",C113*N(D113)*30/70)</f>
        <v/>
      </c>
      <c r="F113" s="26" t="n"/>
      <c r="G113" s="26" t="n"/>
      <c r="H113" s="32">
        <f>IF(A113="","","FY"&amp;(YEAR(A113)+IF(MONTH(A113)&gt;=7,1,0)))</f>
        <v/>
      </c>
      <c r="I113" s="26" t="n"/>
    </row>
    <row r="114">
      <c r="A114" s="25" t="n"/>
      <c r="B114" s="26" t="n"/>
      <c r="C114" s="28" t="n"/>
      <c r="D114" s="31" t="n"/>
      <c r="E114" s="29">
        <f>IF(C114="","",C114*N(D114)*30/70)</f>
        <v/>
      </c>
      <c r="F114" s="26" t="n"/>
      <c r="G114" s="26" t="n"/>
      <c r="H114" s="32">
        <f>IF(A114="","","FY"&amp;(YEAR(A114)+IF(MONTH(A114)&gt;=7,1,0)))</f>
        <v/>
      </c>
      <c r="I114" s="26" t="n"/>
    </row>
    <row r="115">
      <c r="A115" s="25" t="n"/>
      <c r="B115" s="26" t="n"/>
      <c r="C115" s="28" t="n"/>
      <c r="D115" s="31" t="n"/>
      <c r="E115" s="29">
        <f>IF(C115="","",C115*N(D115)*30/70)</f>
        <v/>
      </c>
      <c r="F115" s="26" t="n"/>
      <c r="G115" s="26" t="n"/>
      <c r="H115" s="32">
        <f>IF(A115="","","FY"&amp;(YEAR(A115)+IF(MONTH(A115)&gt;=7,1,0)))</f>
        <v/>
      </c>
      <c r="I115" s="26" t="n"/>
    </row>
    <row r="116">
      <c r="A116" s="25" t="n"/>
      <c r="B116" s="26" t="n"/>
      <c r="C116" s="28" t="n"/>
      <c r="D116" s="31" t="n"/>
      <c r="E116" s="29">
        <f>IF(C116="","",C116*N(D116)*30/70)</f>
        <v/>
      </c>
      <c r="F116" s="26" t="n"/>
      <c r="G116" s="26" t="n"/>
      <c r="H116" s="32">
        <f>IF(A116="","","FY"&amp;(YEAR(A116)+IF(MONTH(A116)&gt;=7,1,0)))</f>
        <v/>
      </c>
      <c r="I116" s="26" t="n"/>
    </row>
    <row r="117">
      <c r="A117" s="25" t="n"/>
      <c r="B117" s="26" t="n"/>
      <c r="C117" s="28" t="n"/>
      <c r="D117" s="31" t="n"/>
      <c r="E117" s="29">
        <f>IF(C117="","",C117*N(D117)*30/70)</f>
        <v/>
      </c>
      <c r="F117" s="26" t="n"/>
      <c r="G117" s="26" t="n"/>
      <c r="H117" s="32">
        <f>IF(A117="","","FY"&amp;(YEAR(A117)+IF(MONTH(A117)&gt;=7,1,0)))</f>
        <v/>
      </c>
      <c r="I117" s="26" t="n"/>
    </row>
    <row r="118">
      <c r="A118" s="25" t="n"/>
      <c r="B118" s="26" t="n"/>
      <c r="C118" s="28" t="n"/>
      <c r="D118" s="31" t="n"/>
      <c r="E118" s="29">
        <f>IF(C118="","",C118*N(D118)*30/70)</f>
        <v/>
      </c>
      <c r="F118" s="26" t="n"/>
      <c r="G118" s="26" t="n"/>
      <c r="H118" s="32">
        <f>IF(A118="","","FY"&amp;(YEAR(A118)+IF(MONTH(A118)&gt;=7,1,0)))</f>
        <v/>
      </c>
      <c r="I118" s="26" t="n"/>
    </row>
    <row r="119">
      <c r="A119" s="25" t="n"/>
      <c r="B119" s="26" t="n"/>
      <c r="C119" s="28" t="n"/>
      <c r="D119" s="31" t="n"/>
      <c r="E119" s="29">
        <f>IF(C119="","",C119*N(D119)*30/70)</f>
        <v/>
      </c>
      <c r="F119" s="26" t="n"/>
      <c r="G119" s="26" t="n"/>
      <c r="H119" s="32">
        <f>IF(A119="","","FY"&amp;(YEAR(A119)+IF(MONTH(A119)&gt;=7,1,0)))</f>
        <v/>
      </c>
      <c r="I119" s="26" t="n"/>
    </row>
    <row r="120">
      <c r="A120" s="25" t="n"/>
      <c r="B120" s="26" t="n"/>
      <c r="C120" s="28" t="n"/>
      <c r="D120" s="31" t="n"/>
      <c r="E120" s="29">
        <f>IF(C120="","",C120*N(D120)*30/70)</f>
        <v/>
      </c>
      <c r="F120" s="26" t="n"/>
      <c r="G120" s="26" t="n"/>
      <c r="H120" s="32">
        <f>IF(A120="","","FY"&amp;(YEAR(A120)+IF(MONTH(A120)&gt;=7,1,0)))</f>
        <v/>
      </c>
      <c r="I120" s="26" t="n"/>
    </row>
    <row r="121">
      <c r="A121" s="25" t="n"/>
      <c r="B121" s="26" t="n"/>
      <c r="C121" s="28" t="n"/>
      <c r="D121" s="31" t="n"/>
      <c r="E121" s="29">
        <f>IF(C121="","",C121*N(D121)*30/70)</f>
        <v/>
      </c>
      <c r="F121" s="26" t="n"/>
      <c r="G121" s="26" t="n"/>
      <c r="H121" s="32">
        <f>IF(A121="","","FY"&amp;(YEAR(A121)+IF(MONTH(A121)&gt;=7,1,0)))</f>
        <v/>
      </c>
      <c r="I121" s="26" t="n"/>
    </row>
    <row r="122">
      <c r="A122" s="25" t="n"/>
      <c r="B122" s="26" t="n"/>
      <c r="C122" s="28" t="n"/>
      <c r="D122" s="31" t="n"/>
      <c r="E122" s="29">
        <f>IF(C122="","",C122*N(D122)*30/70)</f>
        <v/>
      </c>
      <c r="F122" s="26" t="n"/>
      <c r="G122" s="26" t="n"/>
      <c r="H122" s="32">
        <f>IF(A122="","","FY"&amp;(YEAR(A122)+IF(MONTH(A122)&gt;=7,1,0)))</f>
        <v/>
      </c>
      <c r="I122" s="26" t="n"/>
    </row>
    <row r="123">
      <c r="A123" s="25" t="n"/>
      <c r="B123" s="26" t="n"/>
      <c r="C123" s="28" t="n"/>
      <c r="D123" s="31" t="n"/>
      <c r="E123" s="29">
        <f>IF(C123="","",C123*N(D123)*30/70)</f>
        <v/>
      </c>
      <c r="F123" s="26" t="n"/>
      <c r="G123" s="26" t="n"/>
      <c r="H123" s="32">
        <f>IF(A123="","","FY"&amp;(YEAR(A123)+IF(MONTH(A123)&gt;=7,1,0)))</f>
        <v/>
      </c>
      <c r="I123" s="26" t="n"/>
    </row>
    <row r="124">
      <c r="A124" s="25" t="n"/>
      <c r="B124" s="26" t="n"/>
      <c r="C124" s="28" t="n"/>
      <c r="D124" s="31" t="n"/>
      <c r="E124" s="29">
        <f>IF(C124="","",C124*N(D124)*30/70)</f>
        <v/>
      </c>
      <c r="F124" s="26" t="n"/>
      <c r="G124" s="26" t="n"/>
      <c r="H124" s="32">
        <f>IF(A124="","","FY"&amp;(YEAR(A124)+IF(MONTH(A124)&gt;=7,1,0)))</f>
        <v/>
      </c>
      <c r="I124" s="26" t="n"/>
    </row>
    <row r="125">
      <c r="A125" s="25" t="n"/>
      <c r="B125" s="26" t="n"/>
      <c r="C125" s="28" t="n"/>
      <c r="D125" s="31" t="n"/>
      <c r="E125" s="29">
        <f>IF(C125="","",C125*N(D125)*30/70)</f>
        <v/>
      </c>
      <c r="F125" s="26" t="n"/>
      <c r="G125" s="26" t="n"/>
      <c r="H125" s="32">
        <f>IF(A125="","","FY"&amp;(YEAR(A125)+IF(MONTH(A125)&gt;=7,1,0)))</f>
        <v/>
      </c>
      <c r="I125" s="26" t="n"/>
    </row>
    <row r="126">
      <c r="A126" s="25" t="n"/>
      <c r="B126" s="26" t="n"/>
      <c r="C126" s="28" t="n"/>
      <c r="D126" s="31" t="n"/>
      <c r="E126" s="29">
        <f>IF(C126="","",C126*N(D126)*30/70)</f>
        <v/>
      </c>
      <c r="F126" s="26" t="n"/>
      <c r="G126" s="26" t="n"/>
      <c r="H126" s="32">
        <f>IF(A126="","","FY"&amp;(YEAR(A126)+IF(MONTH(A126)&gt;=7,1,0)))</f>
        <v/>
      </c>
      <c r="I126" s="26" t="n"/>
    </row>
    <row r="127">
      <c r="A127" s="25" t="n"/>
      <c r="B127" s="26" t="n"/>
      <c r="C127" s="28" t="n"/>
      <c r="D127" s="31" t="n"/>
      <c r="E127" s="29">
        <f>IF(C127="","",C127*N(D127)*30/70)</f>
        <v/>
      </c>
      <c r="F127" s="26" t="n"/>
      <c r="G127" s="26" t="n"/>
      <c r="H127" s="32">
        <f>IF(A127="","","FY"&amp;(YEAR(A127)+IF(MONTH(A127)&gt;=7,1,0)))</f>
        <v/>
      </c>
      <c r="I127" s="26" t="n"/>
    </row>
    <row r="128">
      <c r="A128" s="25" t="n"/>
      <c r="B128" s="26" t="n"/>
      <c r="C128" s="28" t="n"/>
      <c r="D128" s="31" t="n"/>
      <c r="E128" s="29">
        <f>IF(C128="","",C128*N(D128)*30/70)</f>
        <v/>
      </c>
      <c r="F128" s="26" t="n"/>
      <c r="G128" s="26" t="n"/>
      <c r="H128" s="32">
        <f>IF(A128="","","FY"&amp;(YEAR(A128)+IF(MONTH(A128)&gt;=7,1,0)))</f>
        <v/>
      </c>
      <c r="I128" s="26" t="n"/>
    </row>
    <row r="129">
      <c r="A129" s="25" t="n"/>
      <c r="B129" s="26" t="n"/>
      <c r="C129" s="28" t="n"/>
      <c r="D129" s="31" t="n"/>
      <c r="E129" s="29">
        <f>IF(C129="","",C129*N(D129)*30/70)</f>
        <v/>
      </c>
      <c r="F129" s="26" t="n"/>
      <c r="G129" s="26" t="n"/>
      <c r="H129" s="32">
        <f>IF(A129="","","FY"&amp;(YEAR(A129)+IF(MONTH(A129)&gt;=7,1,0)))</f>
        <v/>
      </c>
      <c r="I129" s="26" t="n"/>
    </row>
    <row r="130">
      <c r="A130" s="25" t="n"/>
      <c r="B130" s="26" t="n"/>
      <c r="C130" s="28" t="n"/>
      <c r="D130" s="31" t="n"/>
      <c r="E130" s="29">
        <f>IF(C130="","",C130*N(D130)*30/70)</f>
        <v/>
      </c>
      <c r="F130" s="26" t="n"/>
      <c r="G130" s="26" t="n"/>
      <c r="H130" s="32">
        <f>IF(A130="","","FY"&amp;(YEAR(A130)+IF(MONTH(A130)&gt;=7,1,0)))</f>
        <v/>
      </c>
      <c r="I130" s="26" t="n"/>
    </row>
    <row r="131">
      <c r="A131" s="25" t="n"/>
      <c r="B131" s="26" t="n"/>
      <c r="C131" s="28" t="n"/>
      <c r="D131" s="31" t="n"/>
      <c r="E131" s="29">
        <f>IF(C131="","",C131*N(D131)*30/70)</f>
        <v/>
      </c>
      <c r="F131" s="26" t="n"/>
      <c r="G131" s="26" t="n"/>
      <c r="H131" s="32">
        <f>IF(A131="","","FY"&amp;(YEAR(A131)+IF(MONTH(A131)&gt;=7,1,0)))</f>
        <v/>
      </c>
      <c r="I131" s="26" t="n"/>
    </row>
    <row r="132">
      <c r="A132" s="25" t="n"/>
      <c r="B132" s="26" t="n"/>
      <c r="C132" s="28" t="n"/>
      <c r="D132" s="31" t="n"/>
      <c r="E132" s="29">
        <f>IF(C132="","",C132*N(D132)*30/70)</f>
        <v/>
      </c>
      <c r="F132" s="26" t="n"/>
      <c r="G132" s="26" t="n"/>
      <c r="H132" s="32">
        <f>IF(A132="","","FY"&amp;(YEAR(A132)+IF(MONTH(A132)&gt;=7,1,0)))</f>
        <v/>
      </c>
      <c r="I132" s="26" t="n"/>
    </row>
    <row r="133">
      <c r="A133" s="25" t="n"/>
      <c r="B133" s="26" t="n"/>
      <c r="C133" s="28" t="n"/>
      <c r="D133" s="31" t="n"/>
      <c r="E133" s="29">
        <f>IF(C133="","",C133*N(D133)*30/70)</f>
        <v/>
      </c>
      <c r="F133" s="26" t="n"/>
      <c r="G133" s="26" t="n"/>
      <c r="H133" s="32">
        <f>IF(A133="","","FY"&amp;(YEAR(A133)+IF(MONTH(A133)&gt;=7,1,0)))</f>
        <v/>
      </c>
      <c r="I133" s="26" t="n"/>
    </row>
    <row r="134">
      <c r="A134" s="25" t="n"/>
      <c r="B134" s="26" t="n"/>
      <c r="C134" s="28" t="n"/>
      <c r="D134" s="31" t="n"/>
      <c r="E134" s="29">
        <f>IF(C134="","",C134*N(D134)*30/70)</f>
        <v/>
      </c>
      <c r="F134" s="26" t="n"/>
      <c r="G134" s="26" t="n"/>
      <c r="H134" s="32">
        <f>IF(A134="","","FY"&amp;(YEAR(A134)+IF(MONTH(A134)&gt;=7,1,0)))</f>
        <v/>
      </c>
      <c r="I134" s="26" t="n"/>
    </row>
    <row r="135">
      <c r="A135" s="25" t="n"/>
      <c r="B135" s="26" t="n"/>
      <c r="C135" s="28" t="n"/>
      <c r="D135" s="31" t="n"/>
      <c r="E135" s="29">
        <f>IF(C135="","",C135*N(D135)*30/70)</f>
        <v/>
      </c>
      <c r="F135" s="26" t="n"/>
      <c r="G135" s="26" t="n"/>
      <c r="H135" s="32">
        <f>IF(A135="","","FY"&amp;(YEAR(A135)+IF(MONTH(A135)&gt;=7,1,0)))</f>
        <v/>
      </c>
      <c r="I135" s="26" t="n"/>
    </row>
    <row r="136">
      <c r="A136" s="25" t="n"/>
      <c r="B136" s="26" t="n"/>
      <c r="C136" s="28" t="n"/>
      <c r="D136" s="31" t="n"/>
      <c r="E136" s="29">
        <f>IF(C136="","",C136*N(D136)*30/70)</f>
        <v/>
      </c>
      <c r="F136" s="26" t="n"/>
      <c r="G136" s="26" t="n"/>
      <c r="H136" s="32">
        <f>IF(A136="","","FY"&amp;(YEAR(A136)+IF(MONTH(A136)&gt;=7,1,0)))</f>
        <v/>
      </c>
      <c r="I136" s="26" t="n"/>
    </row>
    <row r="137">
      <c r="A137" s="25" t="n"/>
      <c r="B137" s="26" t="n"/>
      <c r="C137" s="28" t="n"/>
      <c r="D137" s="31" t="n"/>
      <c r="E137" s="29">
        <f>IF(C137="","",C137*N(D137)*30/70)</f>
        <v/>
      </c>
      <c r="F137" s="26" t="n"/>
      <c r="G137" s="26" t="n"/>
      <c r="H137" s="32">
        <f>IF(A137="","","FY"&amp;(YEAR(A137)+IF(MONTH(A137)&gt;=7,1,0)))</f>
        <v/>
      </c>
      <c r="I137" s="26" t="n"/>
    </row>
    <row r="138">
      <c r="A138" s="25" t="n"/>
      <c r="B138" s="26" t="n"/>
      <c r="C138" s="28" t="n"/>
      <c r="D138" s="31" t="n"/>
      <c r="E138" s="29">
        <f>IF(C138="","",C138*N(D138)*30/70)</f>
        <v/>
      </c>
      <c r="F138" s="26" t="n"/>
      <c r="G138" s="26" t="n"/>
      <c r="H138" s="32">
        <f>IF(A138="","","FY"&amp;(YEAR(A138)+IF(MONTH(A138)&gt;=7,1,0)))</f>
        <v/>
      </c>
      <c r="I138" s="26" t="n"/>
    </row>
    <row r="139">
      <c r="A139" s="25" t="n"/>
      <c r="B139" s="26" t="n"/>
      <c r="C139" s="28" t="n"/>
      <c r="D139" s="31" t="n"/>
      <c r="E139" s="29">
        <f>IF(C139="","",C139*N(D139)*30/70)</f>
        <v/>
      </c>
      <c r="F139" s="26" t="n"/>
      <c r="G139" s="26" t="n"/>
      <c r="H139" s="32">
        <f>IF(A139="","","FY"&amp;(YEAR(A139)+IF(MONTH(A139)&gt;=7,1,0)))</f>
        <v/>
      </c>
      <c r="I139" s="26" t="n"/>
    </row>
    <row r="140">
      <c r="A140" s="25" t="n"/>
      <c r="B140" s="26" t="n"/>
      <c r="C140" s="28" t="n"/>
      <c r="D140" s="31" t="n"/>
      <c r="E140" s="29">
        <f>IF(C140="","",C140*N(D140)*30/70)</f>
        <v/>
      </c>
      <c r="F140" s="26" t="n"/>
      <c r="G140" s="26" t="n"/>
      <c r="H140" s="32">
        <f>IF(A140="","","FY"&amp;(YEAR(A140)+IF(MONTH(A140)&gt;=7,1,0)))</f>
        <v/>
      </c>
      <c r="I140" s="26" t="n"/>
    </row>
    <row r="141">
      <c r="A141" s="25" t="n"/>
      <c r="B141" s="26" t="n"/>
      <c r="C141" s="28" t="n"/>
      <c r="D141" s="31" t="n"/>
      <c r="E141" s="29">
        <f>IF(C141="","",C141*N(D141)*30/70)</f>
        <v/>
      </c>
      <c r="F141" s="26" t="n"/>
      <c r="G141" s="26" t="n"/>
      <c r="H141" s="32">
        <f>IF(A141="","","FY"&amp;(YEAR(A141)+IF(MONTH(A141)&gt;=7,1,0)))</f>
        <v/>
      </c>
      <c r="I141" s="26" t="n"/>
    </row>
    <row r="142">
      <c r="A142" s="25" t="n"/>
      <c r="B142" s="26" t="n"/>
      <c r="C142" s="28" t="n"/>
      <c r="D142" s="31" t="n"/>
      <c r="E142" s="29">
        <f>IF(C142="","",C142*N(D142)*30/70)</f>
        <v/>
      </c>
      <c r="F142" s="26" t="n"/>
      <c r="G142" s="26" t="n"/>
      <c r="H142" s="32">
        <f>IF(A142="","","FY"&amp;(YEAR(A142)+IF(MONTH(A142)&gt;=7,1,0)))</f>
        <v/>
      </c>
      <c r="I142" s="26" t="n"/>
    </row>
    <row r="143">
      <c r="A143" s="25" t="n"/>
      <c r="B143" s="26" t="n"/>
      <c r="C143" s="28" t="n"/>
      <c r="D143" s="31" t="n"/>
      <c r="E143" s="29">
        <f>IF(C143="","",C143*N(D143)*30/70)</f>
        <v/>
      </c>
      <c r="F143" s="26" t="n"/>
      <c r="G143" s="26" t="n"/>
      <c r="H143" s="32">
        <f>IF(A143="","","FY"&amp;(YEAR(A143)+IF(MONTH(A143)&gt;=7,1,0)))</f>
        <v/>
      </c>
      <c r="I143" s="26" t="n"/>
    </row>
    <row r="144">
      <c r="A144" s="25" t="n"/>
      <c r="B144" s="26" t="n"/>
      <c r="C144" s="28" t="n"/>
      <c r="D144" s="31" t="n"/>
      <c r="E144" s="29">
        <f>IF(C144="","",C144*N(D144)*30/70)</f>
        <v/>
      </c>
      <c r="F144" s="26" t="n"/>
      <c r="G144" s="26" t="n"/>
      <c r="H144" s="32">
        <f>IF(A144="","","FY"&amp;(YEAR(A144)+IF(MONTH(A144)&gt;=7,1,0)))</f>
        <v/>
      </c>
      <c r="I144" s="26" t="n"/>
    </row>
    <row r="145">
      <c r="A145" s="25" t="n"/>
      <c r="B145" s="26" t="n"/>
      <c r="C145" s="28" t="n"/>
      <c r="D145" s="31" t="n"/>
      <c r="E145" s="29">
        <f>IF(C145="","",C145*N(D145)*30/70)</f>
        <v/>
      </c>
      <c r="F145" s="26" t="n"/>
      <c r="G145" s="26" t="n"/>
      <c r="H145" s="32">
        <f>IF(A145="","","FY"&amp;(YEAR(A145)+IF(MONTH(A145)&gt;=7,1,0)))</f>
        <v/>
      </c>
      <c r="I145" s="26" t="n"/>
    </row>
    <row r="146">
      <c r="A146" s="25" t="n"/>
      <c r="B146" s="26" t="n"/>
      <c r="C146" s="28" t="n"/>
      <c r="D146" s="31" t="n"/>
      <c r="E146" s="29">
        <f>IF(C146="","",C146*N(D146)*30/70)</f>
        <v/>
      </c>
      <c r="F146" s="26" t="n"/>
      <c r="G146" s="26" t="n"/>
      <c r="H146" s="32">
        <f>IF(A146="","","FY"&amp;(YEAR(A146)+IF(MONTH(A146)&gt;=7,1,0)))</f>
        <v/>
      </c>
      <c r="I146" s="26" t="n"/>
    </row>
    <row r="147">
      <c r="A147" s="25" t="n"/>
      <c r="B147" s="26" t="n"/>
      <c r="C147" s="28" t="n"/>
      <c r="D147" s="31" t="n"/>
      <c r="E147" s="29">
        <f>IF(C147="","",C147*N(D147)*30/70)</f>
        <v/>
      </c>
      <c r="F147" s="26" t="n"/>
      <c r="G147" s="26" t="n"/>
      <c r="H147" s="32">
        <f>IF(A147="","","FY"&amp;(YEAR(A147)+IF(MONTH(A147)&gt;=7,1,0)))</f>
        <v/>
      </c>
      <c r="I147" s="26" t="n"/>
    </row>
    <row r="148">
      <c r="A148" s="25" t="n"/>
      <c r="B148" s="26" t="n"/>
      <c r="C148" s="28" t="n"/>
      <c r="D148" s="31" t="n"/>
      <c r="E148" s="29">
        <f>IF(C148="","",C148*N(D148)*30/70)</f>
        <v/>
      </c>
      <c r="F148" s="26" t="n"/>
      <c r="G148" s="26" t="n"/>
      <c r="H148" s="32">
        <f>IF(A148="","","FY"&amp;(YEAR(A148)+IF(MONTH(A148)&gt;=7,1,0)))</f>
        <v/>
      </c>
      <c r="I148" s="26" t="n"/>
    </row>
    <row r="149">
      <c r="A149" s="25" t="n"/>
      <c r="B149" s="26" t="n"/>
      <c r="C149" s="28" t="n"/>
      <c r="D149" s="31" t="n"/>
      <c r="E149" s="29">
        <f>IF(C149="","",C149*N(D149)*30/70)</f>
        <v/>
      </c>
      <c r="F149" s="26" t="n"/>
      <c r="G149" s="26" t="n"/>
      <c r="H149" s="32">
        <f>IF(A149="","","FY"&amp;(YEAR(A149)+IF(MONTH(A149)&gt;=7,1,0)))</f>
        <v/>
      </c>
      <c r="I149" s="26" t="n"/>
    </row>
    <row r="150">
      <c r="A150" s="25" t="n"/>
      <c r="B150" s="26" t="n"/>
      <c r="C150" s="28" t="n"/>
      <c r="D150" s="31" t="n"/>
      <c r="E150" s="29">
        <f>IF(C150="","",C150*N(D150)*30/70)</f>
        <v/>
      </c>
      <c r="F150" s="26" t="n"/>
      <c r="G150" s="26" t="n"/>
      <c r="H150" s="32">
        <f>IF(A150="","","FY"&amp;(YEAR(A150)+IF(MONTH(A150)&gt;=7,1,0)))</f>
        <v/>
      </c>
      <c r="I150" s="26" t="n"/>
    </row>
    <row r="151">
      <c r="A151" s="25" t="n"/>
      <c r="B151" s="26" t="n"/>
      <c r="C151" s="28" t="n"/>
      <c r="D151" s="31" t="n"/>
      <c r="E151" s="29">
        <f>IF(C151="","",C151*N(D151)*30/70)</f>
        <v/>
      </c>
      <c r="F151" s="26" t="n"/>
      <c r="G151" s="26" t="n"/>
      <c r="H151" s="32">
        <f>IF(A151="","","FY"&amp;(YEAR(A151)+IF(MONTH(A151)&gt;=7,1,0)))</f>
        <v/>
      </c>
      <c r="I151" s="26" t="n"/>
    </row>
    <row r="152">
      <c r="A152" s="25" t="n"/>
      <c r="B152" s="26" t="n"/>
      <c r="C152" s="28" t="n"/>
      <c r="D152" s="31" t="n"/>
      <c r="E152" s="29">
        <f>IF(C152="","",C152*N(D152)*30/70)</f>
        <v/>
      </c>
      <c r="F152" s="26" t="n"/>
      <c r="G152" s="26" t="n"/>
      <c r="H152" s="32">
        <f>IF(A152="","","FY"&amp;(YEAR(A152)+IF(MONTH(A152)&gt;=7,1,0)))</f>
        <v/>
      </c>
      <c r="I152" s="26" t="n"/>
    </row>
    <row r="153">
      <c r="A153" s="25" t="n"/>
      <c r="B153" s="26" t="n"/>
      <c r="C153" s="28" t="n"/>
      <c r="D153" s="31" t="n"/>
      <c r="E153" s="29">
        <f>IF(C153="","",C153*N(D153)*30/70)</f>
        <v/>
      </c>
      <c r="F153" s="26" t="n"/>
      <c r="G153" s="26" t="n"/>
      <c r="H153" s="32">
        <f>IF(A153="","","FY"&amp;(YEAR(A153)+IF(MONTH(A153)&gt;=7,1,0)))</f>
        <v/>
      </c>
      <c r="I153" s="26" t="n"/>
    </row>
    <row r="154">
      <c r="A154" s="25" t="n"/>
      <c r="B154" s="26" t="n"/>
      <c r="C154" s="28" t="n"/>
      <c r="D154" s="31" t="n"/>
      <c r="E154" s="29">
        <f>IF(C154="","",C154*N(D154)*30/70)</f>
        <v/>
      </c>
      <c r="F154" s="26" t="n"/>
      <c r="G154" s="26" t="n"/>
      <c r="H154" s="32">
        <f>IF(A154="","","FY"&amp;(YEAR(A154)+IF(MONTH(A154)&gt;=7,1,0)))</f>
        <v/>
      </c>
      <c r="I154" s="26" t="n"/>
    </row>
    <row r="155">
      <c r="A155" s="25" t="n"/>
      <c r="B155" s="26" t="n"/>
      <c r="C155" s="28" t="n"/>
      <c r="D155" s="31" t="n"/>
      <c r="E155" s="29">
        <f>IF(C155="","",C155*N(D155)*30/70)</f>
        <v/>
      </c>
      <c r="F155" s="26" t="n"/>
      <c r="G155" s="26" t="n"/>
      <c r="H155" s="32">
        <f>IF(A155="","","FY"&amp;(YEAR(A155)+IF(MONTH(A155)&gt;=7,1,0)))</f>
        <v/>
      </c>
      <c r="I155" s="26" t="n"/>
    </row>
    <row r="156">
      <c r="A156" s="25" t="n"/>
      <c r="B156" s="26" t="n"/>
      <c r="C156" s="28" t="n"/>
      <c r="D156" s="31" t="n"/>
      <c r="E156" s="29">
        <f>IF(C156="","",C156*N(D156)*30/70)</f>
        <v/>
      </c>
      <c r="F156" s="26" t="n"/>
      <c r="G156" s="26" t="n"/>
      <c r="H156" s="32">
        <f>IF(A156="","","FY"&amp;(YEAR(A156)+IF(MONTH(A156)&gt;=7,1,0)))</f>
        <v/>
      </c>
      <c r="I156" s="26" t="n"/>
    </row>
    <row r="157">
      <c r="A157" s="25" t="n"/>
      <c r="B157" s="26" t="n"/>
      <c r="C157" s="28" t="n"/>
      <c r="D157" s="31" t="n"/>
      <c r="E157" s="29">
        <f>IF(C157="","",C157*N(D157)*30/70)</f>
        <v/>
      </c>
      <c r="F157" s="26" t="n"/>
      <c r="G157" s="26" t="n"/>
      <c r="H157" s="32">
        <f>IF(A157="","","FY"&amp;(YEAR(A157)+IF(MONTH(A157)&gt;=7,1,0)))</f>
        <v/>
      </c>
      <c r="I157" s="26" t="n"/>
    </row>
    <row r="158">
      <c r="A158" s="25" t="n"/>
      <c r="B158" s="26" t="n"/>
      <c r="C158" s="28" t="n"/>
      <c r="D158" s="31" t="n"/>
      <c r="E158" s="29">
        <f>IF(C158="","",C158*N(D158)*30/70)</f>
        <v/>
      </c>
      <c r="F158" s="26" t="n"/>
      <c r="G158" s="26" t="n"/>
      <c r="H158" s="32">
        <f>IF(A158="","","FY"&amp;(YEAR(A158)+IF(MONTH(A158)&gt;=7,1,0)))</f>
        <v/>
      </c>
      <c r="I158" s="26" t="n"/>
    </row>
    <row r="159">
      <c r="A159" s="25" t="n"/>
      <c r="B159" s="26" t="n"/>
      <c r="C159" s="28" t="n"/>
      <c r="D159" s="31" t="n"/>
      <c r="E159" s="29">
        <f>IF(C159="","",C159*N(D159)*30/70)</f>
        <v/>
      </c>
      <c r="F159" s="26" t="n"/>
      <c r="G159" s="26" t="n"/>
      <c r="H159" s="32">
        <f>IF(A159="","","FY"&amp;(YEAR(A159)+IF(MONTH(A159)&gt;=7,1,0)))</f>
        <v/>
      </c>
      <c r="I159" s="26" t="n"/>
    </row>
    <row r="160">
      <c r="A160" s="25" t="n"/>
      <c r="B160" s="26" t="n"/>
      <c r="C160" s="28" t="n"/>
      <c r="D160" s="31" t="n"/>
      <c r="E160" s="29">
        <f>IF(C160="","",C160*N(D160)*30/70)</f>
        <v/>
      </c>
      <c r="F160" s="26" t="n"/>
      <c r="G160" s="26" t="n"/>
      <c r="H160" s="32">
        <f>IF(A160="","","FY"&amp;(YEAR(A160)+IF(MONTH(A160)&gt;=7,1,0)))</f>
        <v/>
      </c>
      <c r="I160" s="26" t="n"/>
    </row>
    <row r="161">
      <c r="A161" s="25" t="n"/>
      <c r="B161" s="26" t="n"/>
      <c r="C161" s="28" t="n"/>
      <c r="D161" s="31" t="n"/>
      <c r="E161" s="29">
        <f>IF(C161="","",C161*N(D161)*30/70)</f>
        <v/>
      </c>
      <c r="F161" s="26" t="n"/>
      <c r="G161" s="26" t="n"/>
      <c r="H161" s="32">
        <f>IF(A161="","","FY"&amp;(YEAR(A161)+IF(MONTH(A161)&gt;=7,1,0)))</f>
        <v/>
      </c>
      <c r="I161" s="26" t="n"/>
    </row>
    <row r="162">
      <c r="A162" s="25" t="n"/>
      <c r="B162" s="26" t="n"/>
      <c r="C162" s="28" t="n"/>
      <c r="D162" s="31" t="n"/>
      <c r="E162" s="29">
        <f>IF(C162="","",C162*N(D162)*30/70)</f>
        <v/>
      </c>
      <c r="F162" s="26" t="n"/>
      <c r="G162" s="26" t="n"/>
      <c r="H162" s="32">
        <f>IF(A162="","","FY"&amp;(YEAR(A162)+IF(MONTH(A162)&gt;=7,1,0)))</f>
        <v/>
      </c>
      <c r="I162" s="26" t="n"/>
    </row>
    <row r="163">
      <c r="A163" s="25" t="n"/>
      <c r="B163" s="26" t="n"/>
      <c r="C163" s="28" t="n"/>
      <c r="D163" s="31" t="n"/>
      <c r="E163" s="29">
        <f>IF(C163="","",C163*N(D163)*30/70)</f>
        <v/>
      </c>
      <c r="F163" s="26" t="n"/>
      <c r="G163" s="26" t="n"/>
      <c r="H163" s="32">
        <f>IF(A163="","","FY"&amp;(YEAR(A163)+IF(MONTH(A163)&gt;=7,1,0)))</f>
        <v/>
      </c>
      <c r="I163" s="26" t="n"/>
    </row>
    <row r="164">
      <c r="A164" s="25" t="n"/>
      <c r="B164" s="26" t="n"/>
      <c r="C164" s="28" t="n"/>
      <c r="D164" s="31" t="n"/>
      <c r="E164" s="29">
        <f>IF(C164="","",C164*N(D164)*30/70)</f>
        <v/>
      </c>
      <c r="F164" s="26" t="n"/>
      <c r="G164" s="26" t="n"/>
      <c r="H164" s="32">
        <f>IF(A164="","","FY"&amp;(YEAR(A164)+IF(MONTH(A164)&gt;=7,1,0)))</f>
        <v/>
      </c>
      <c r="I164" s="26" t="n"/>
    </row>
    <row r="165">
      <c r="A165" s="25" t="n"/>
      <c r="B165" s="26" t="n"/>
      <c r="C165" s="28" t="n"/>
      <c r="D165" s="31" t="n"/>
      <c r="E165" s="29">
        <f>IF(C165="","",C165*N(D165)*30/70)</f>
        <v/>
      </c>
      <c r="F165" s="26" t="n"/>
      <c r="G165" s="26" t="n"/>
      <c r="H165" s="32">
        <f>IF(A165="","","FY"&amp;(YEAR(A165)+IF(MONTH(A165)&gt;=7,1,0)))</f>
        <v/>
      </c>
      <c r="I165" s="26" t="n"/>
    </row>
    <row r="166">
      <c r="A166" s="25" t="n"/>
      <c r="B166" s="26" t="n"/>
      <c r="C166" s="28" t="n"/>
      <c r="D166" s="31" t="n"/>
      <c r="E166" s="29">
        <f>IF(C166="","",C166*N(D166)*30/70)</f>
        <v/>
      </c>
      <c r="F166" s="26" t="n"/>
      <c r="G166" s="26" t="n"/>
      <c r="H166" s="32">
        <f>IF(A166="","","FY"&amp;(YEAR(A166)+IF(MONTH(A166)&gt;=7,1,0)))</f>
        <v/>
      </c>
      <c r="I166" s="26" t="n"/>
    </row>
    <row r="167">
      <c r="A167" s="25" t="n"/>
      <c r="B167" s="26" t="n"/>
      <c r="C167" s="28" t="n"/>
      <c r="D167" s="31" t="n"/>
      <c r="E167" s="29">
        <f>IF(C167="","",C167*N(D167)*30/70)</f>
        <v/>
      </c>
      <c r="F167" s="26" t="n"/>
      <c r="G167" s="26" t="n"/>
      <c r="H167" s="32">
        <f>IF(A167="","","FY"&amp;(YEAR(A167)+IF(MONTH(A167)&gt;=7,1,0)))</f>
        <v/>
      </c>
      <c r="I167" s="26" t="n"/>
    </row>
    <row r="168">
      <c r="A168" s="25" t="n"/>
      <c r="B168" s="26" t="n"/>
      <c r="C168" s="28" t="n"/>
      <c r="D168" s="31" t="n"/>
      <c r="E168" s="29">
        <f>IF(C168="","",C168*N(D168)*30/70)</f>
        <v/>
      </c>
      <c r="F168" s="26" t="n"/>
      <c r="G168" s="26" t="n"/>
      <c r="H168" s="32">
        <f>IF(A168="","","FY"&amp;(YEAR(A168)+IF(MONTH(A168)&gt;=7,1,0)))</f>
        <v/>
      </c>
      <c r="I168" s="26" t="n"/>
    </row>
    <row r="169">
      <c r="A169" s="25" t="n"/>
      <c r="B169" s="26" t="n"/>
      <c r="C169" s="28" t="n"/>
      <c r="D169" s="31" t="n"/>
      <c r="E169" s="29">
        <f>IF(C169="","",C169*N(D169)*30/70)</f>
        <v/>
      </c>
      <c r="F169" s="26" t="n"/>
      <c r="G169" s="26" t="n"/>
      <c r="H169" s="32">
        <f>IF(A169="","","FY"&amp;(YEAR(A169)+IF(MONTH(A169)&gt;=7,1,0)))</f>
        <v/>
      </c>
      <c r="I169" s="26" t="n"/>
    </row>
    <row r="170">
      <c r="A170" s="25" t="n"/>
      <c r="B170" s="26" t="n"/>
      <c r="C170" s="28" t="n"/>
      <c r="D170" s="31" t="n"/>
      <c r="E170" s="29">
        <f>IF(C170="","",C170*N(D170)*30/70)</f>
        <v/>
      </c>
      <c r="F170" s="26" t="n"/>
      <c r="G170" s="26" t="n"/>
      <c r="H170" s="32">
        <f>IF(A170="","","FY"&amp;(YEAR(A170)+IF(MONTH(A170)&gt;=7,1,0)))</f>
        <v/>
      </c>
      <c r="I170" s="26" t="n"/>
    </row>
    <row r="171">
      <c r="A171" s="25" t="n"/>
      <c r="B171" s="26" t="n"/>
      <c r="C171" s="28" t="n"/>
      <c r="D171" s="31" t="n"/>
      <c r="E171" s="29">
        <f>IF(C171="","",C171*N(D171)*30/70)</f>
        <v/>
      </c>
      <c r="F171" s="26" t="n"/>
      <c r="G171" s="26" t="n"/>
      <c r="H171" s="32">
        <f>IF(A171="","","FY"&amp;(YEAR(A171)+IF(MONTH(A171)&gt;=7,1,0)))</f>
        <v/>
      </c>
      <c r="I171" s="26" t="n"/>
    </row>
    <row r="172">
      <c r="A172" s="25" t="n"/>
      <c r="B172" s="26" t="n"/>
      <c r="C172" s="28" t="n"/>
      <c r="D172" s="31" t="n"/>
      <c r="E172" s="29">
        <f>IF(C172="","",C172*N(D172)*30/70)</f>
        <v/>
      </c>
      <c r="F172" s="26" t="n"/>
      <c r="G172" s="26" t="n"/>
      <c r="H172" s="32">
        <f>IF(A172="","","FY"&amp;(YEAR(A172)+IF(MONTH(A172)&gt;=7,1,0)))</f>
        <v/>
      </c>
      <c r="I172" s="26" t="n"/>
    </row>
    <row r="173">
      <c r="A173" s="25" t="n"/>
      <c r="B173" s="26" t="n"/>
      <c r="C173" s="28" t="n"/>
      <c r="D173" s="31" t="n"/>
      <c r="E173" s="29">
        <f>IF(C173="","",C173*N(D173)*30/70)</f>
        <v/>
      </c>
      <c r="F173" s="26" t="n"/>
      <c r="G173" s="26" t="n"/>
      <c r="H173" s="32">
        <f>IF(A173="","","FY"&amp;(YEAR(A173)+IF(MONTH(A173)&gt;=7,1,0)))</f>
        <v/>
      </c>
      <c r="I173" s="26" t="n"/>
    </row>
    <row r="174">
      <c r="A174" s="25" t="n"/>
      <c r="B174" s="26" t="n"/>
      <c r="C174" s="28" t="n"/>
      <c r="D174" s="31" t="n"/>
      <c r="E174" s="29">
        <f>IF(C174="","",C174*N(D174)*30/70)</f>
        <v/>
      </c>
      <c r="F174" s="26" t="n"/>
      <c r="G174" s="26" t="n"/>
      <c r="H174" s="32">
        <f>IF(A174="","","FY"&amp;(YEAR(A174)+IF(MONTH(A174)&gt;=7,1,0)))</f>
        <v/>
      </c>
      <c r="I174" s="26" t="n"/>
    </row>
    <row r="175">
      <c r="A175" s="25" t="n"/>
      <c r="B175" s="26" t="n"/>
      <c r="C175" s="28" t="n"/>
      <c r="D175" s="31" t="n"/>
      <c r="E175" s="29">
        <f>IF(C175="","",C175*N(D175)*30/70)</f>
        <v/>
      </c>
      <c r="F175" s="26" t="n"/>
      <c r="G175" s="26" t="n"/>
      <c r="H175" s="32">
        <f>IF(A175="","","FY"&amp;(YEAR(A175)+IF(MONTH(A175)&gt;=7,1,0)))</f>
        <v/>
      </c>
      <c r="I175" s="26" t="n"/>
    </row>
    <row r="176">
      <c r="A176" s="25" t="n"/>
      <c r="B176" s="26" t="n"/>
      <c r="C176" s="28" t="n"/>
      <c r="D176" s="31" t="n"/>
      <c r="E176" s="29">
        <f>IF(C176="","",C176*N(D176)*30/70)</f>
        <v/>
      </c>
      <c r="F176" s="26" t="n"/>
      <c r="G176" s="26" t="n"/>
      <c r="H176" s="32">
        <f>IF(A176="","","FY"&amp;(YEAR(A176)+IF(MONTH(A176)&gt;=7,1,0)))</f>
        <v/>
      </c>
      <c r="I176" s="26" t="n"/>
    </row>
    <row r="177">
      <c r="A177" s="25" t="n"/>
      <c r="B177" s="26" t="n"/>
      <c r="C177" s="28" t="n"/>
      <c r="D177" s="31" t="n"/>
      <c r="E177" s="29">
        <f>IF(C177="","",C177*N(D177)*30/70)</f>
        <v/>
      </c>
      <c r="F177" s="26" t="n"/>
      <c r="G177" s="26" t="n"/>
      <c r="H177" s="32">
        <f>IF(A177="","","FY"&amp;(YEAR(A177)+IF(MONTH(A177)&gt;=7,1,0)))</f>
        <v/>
      </c>
      <c r="I177" s="26" t="n"/>
    </row>
    <row r="178">
      <c r="A178" s="25" t="n"/>
      <c r="B178" s="26" t="n"/>
      <c r="C178" s="28" t="n"/>
      <c r="D178" s="31" t="n"/>
      <c r="E178" s="29">
        <f>IF(C178="","",C178*N(D178)*30/70)</f>
        <v/>
      </c>
      <c r="F178" s="26" t="n"/>
      <c r="G178" s="26" t="n"/>
      <c r="H178" s="32">
        <f>IF(A178="","","FY"&amp;(YEAR(A178)+IF(MONTH(A178)&gt;=7,1,0)))</f>
        <v/>
      </c>
      <c r="I178" s="26" t="n"/>
    </row>
    <row r="179">
      <c r="A179" s="25" t="n"/>
      <c r="B179" s="26" t="n"/>
      <c r="C179" s="28" t="n"/>
      <c r="D179" s="31" t="n"/>
      <c r="E179" s="29">
        <f>IF(C179="","",C179*N(D179)*30/70)</f>
        <v/>
      </c>
      <c r="F179" s="26" t="n"/>
      <c r="G179" s="26" t="n"/>
      <c r="H179" s="32">
        <f>IF(A179="","","FY"&amp;(YEAR(A179)+IF(MONTH(A179)&gt;=7,1,0)))</f>
        <v/>
      </c>
      <c r="I179" s="26" t="n"/>
    </row>
    <row r="180">
      <c r="A180" s="25" t="n"/>
      <c r="B180" s="26" t="n"/>
      <c r="C180" s="28" t="n"/>
      <c r="D180" s="31" t="n"/>
      <c r="E180" s="29">
        <f>IF(C180="","",C180*N(D180)*30/70)</f>
        <v/>
      </c>
      <c r="F180" s="26" t="n"/>
      <c r="G180" s="26" t="n"/>
      <c r="H180" s="32">
        <f>IF(A180="","","FY"&amp;(YEAR(A180)+IF(MONTH(A180)&gt;=7,1,0)))</f>
        <v/>
      </c>
      <c r="I180" s="26" t="n"/>
    </row>
    <row r="181">
      <c r="A181" s="25" t="n"/>
      <c r="B181" s="26" t="n"/>
      <c r="C181" s="28" t="n"/>
      <c r="D181" s="31" t="n"/>
      <c r="E181" s="29">
        <f>IF(C181="","",C181*N(D181)*30/70)</f>
        <v/>
      </c>
      <c r="F181" s="26" t="n"/>
      <c r="G181" s="26" t="n"/>
      <c r="H181" s="32">
        <f>IF(A181="","","FY"&amp;(YEAR(A181)+IF(MONTH(A181)&gt;=7,1,0)))</f>
        <v/>
      </c>
      <c r="I181" s="26" t="n"/>
    </row>
    <row r="182">
      <c r="A182" s="25" t="n"/>
      <c r="B182" s="26" t="n"/>
      <c r="C182" s="28" t="n"/>
      <c r="D182" s="31" t="n"/>
      <c r="E182" s="29">
        <f>IF(C182="","",C182*N(D182)*30/70)</f>
        <v/>
      </c>
      <c r="F182" s="26" t="n"/>
      <c r="G182" s="26" t="n"/>
      <c r="H182" s="32">
        <f>IF(A182="","","FY"&amp;(YEAR(A182)+IF(MONTH(A182)&gt;=7,1,0)))</f>
        <v/>
      </c>
      <c r="I182" s="26" t="n"/>
    </row>
    <row r="183">
      <c r="A183" s="25" t="n"/>
      <c r="B183" s="26" t="n"/>
      <c r="C183" s="28" t="n"/>
      <c r="D183" s="31" t="n"/>
      <c r="E183" s="29">
        <f>IF(C183="","",C183*N(D183)*30/70)</f>
        <v/>
      </c>
      <c r="F183" s="26" t="n"/>
      <c r="G183" s="26" t="n"/>
      <c r="H183" s="32">
        <f>IF(A183="","","FY"&amp;(YEAR(A183)+IF(MONTH(A183)&gt;=7,1,0)))</f>
        <v/>
      </c>
      <c r="I183" s="26" t="n"/>
    </row>
    <row r="184">
      <c r="A184" s="25" t="n"/>
      <c r="B184" s="26" t="n"/>
      <c r="C184" s="28" t="n"/>
      <c r="D184" s="31" t="n"/>
      <c r="E184" s="29">
        <f>IF(C184="","",C184*N(D184)*30/70)</f>
        <v/>
      </c>
      <c r="F184" s="26" t="n"/>
      <c r="G184" s="26" t="n"/>
      <c r="H184" s="32">
        <f>IF(A184="","","FY"&amp;(YEAR(A184)+IF(MONTH(A184)&gt;=7,1,0)))</f>
        <v/>
      </c>
      <c r="I184" s="26" t="n"/>
    </row>
    <row r="185">
      <c r="A185" s="25" t="n"/>
      <c r="B185" s="26" t="n"/>
      <c r="C185" s="28" t="n"/>
      <c r="D185" s="31" t="n"/>
      <c r="E185" s="29">
        <f>IF(C185="","",C185*N(D185)*30/70)</f>
        <v/>
      </c>
      <c r="F185" s="26" t="n"/>
      <c r="G185" s="26" t="n"/>
      <c r="H185" s="32">
        <f>IF(A185="","","FY"&amp;(YEAR(A185)+IF(MONTH(A185)&gt;=7,1,0)))</f>
        <v/>
      </c>
      <c r="I185" s="26" t="n"/>
    </row>
    <row r="186">
      <c r="A186" s="25" t="n"/>
      <c r="B186" s="26" t="n"/>
      <c r="C186" s="28" t="n"/>
      <c r="D186" s="31" t="n"/>
      <c r="E186" s="29">
        <f>IF(C186="","",C186*N(D186)*30/70)</f>
        <v/>
      </c>
      <c r="F186" s="26" t="n"/>
      <c r="G186" s="26" t="n"/>
      <c r="H186" s="32">
        <f>IF(A186="","","FY"&amp;(YEAR(A186)+IF(MONTH(A186)&gt;=7,1,0)))</f>
        <v/>
      </c>
      <c r="I186" s="26" t="n"/>
    </row>
    <row r="187">
      <c r="A187" s="25" t="n"/>
      <c r="B187" s="26" t="n"/>
      <c r="C187" s="28" t="n"/>
      <c r="D187" s="31" t="n"/>
      <c r="E187" s="29">
        <f>IF(C187="","",C187*N(D187)*30/70)</f>
        <v/>
      </c>
      <c r="F187" s="26" t="n"/>
      <c r="G187" s="26" t="n"/>
      <c r="H187" s="32">
        <f>IF(A187="","","FY"&amp;(YEAR(A187)+IF(MONTH(A187)&gt;=7,1,0)))</f>
        <v/>
      </c>
      <c r="I187" s="26" t="n"/>
    </row>
    <row r="188">
      <c r="A188" s="25" t="n"/>
      <c r="B188" s="26" t="n"/>
      <c r="C188" s="28" t="n"/>
      <c r="D188" s="31" t="n"/>
      <c r="E188" s="29">
        <f>IF(C188="","",C188*N(D188)*30/70)</f>
        <v/>
      </c>
      <c r="F188" s="26" t="n"/>
      <c r="G188" s="26" t="n"/>
      <c r="H188" s="32">
        <f>IF(A188="","","FY"&amp;(YEAR(A188)+IF(MONTH(A188)&gt;=7,1,0)))</f>
        <v/>
      </c>
      <c r="I188" s="26" t="n"/>
    </row>
    <row r="189">
      <c r="A189" s="25" t="n"/>
      <c r="B189" s="26" t="n"/>
      <c r="C189" s="28" t="n"/>
      <c r="D189" s="31" t="n"/>
      <c r="E189" s="29">
        <f>IF(C189="","",C189*N(D189)*30/70)</f>
        <v/>
      </c>
      <c r="F189" s="26" t="n"/>
      <c r="G189" s="26" t="n"/>
      <c r="H189" s="32">
        <f>IF(A189="","","FY"&amp;(YEAR(A189)+IF(MONTH(A189)&gt;=7,1,0)))</f>
        <v/>
      </c>
      <c r="I189" s="26" t="n"/>
    </row>
    <row r="190">
      <c r="A190" s="25" t="n"/>
      <c r="B190" s="26" t="n"/>
      <c r="C190" s="28" t="n"/>
      <c r="D190" s="31" t="n"/>
      <c r="E190" s="29">
        <f>IF(C190="","",C190*N(D190)*30/70)</f>
        <v/>
      </c>
      <c r="F190" s="26" t="n"/>
      <c r="G190" s="26" t="n"/>
      <c r="H190" s="32">
        <f>IF(A190="","","FY"&amp;(YEAR(A190)+IF(MONTH(A190)&gt;=7,1,0)))</f>
        <v/>
      </c>
      <c r="I190" s="26" t="n"/>
    </row>
    <row r="191">
      <c r="A191" s="25" t="n"/>
      <c r="B191" s="26" t="n"/>
      <c r="C191" s="28" t="n"/>
      <c r="D191" s="31" t="n"/>
      <c r="E191" s="29">
        <f>IF(C191="","",C191*N(D191)*30/70)</f>
        <v/>
      </c>
      <c r="F191" s="26" t="n"/>
      <c r="G191" s="26" t="n"/>
      <c r="H191" s="32">
        <f>IF(A191="","","FY"&amp;(YEAR(A191)+IF(MONTH(A191)&gt;=7,1,0)))</f>
        <v/>
      </c>
      <c r="I191" s="26" t="n"/>
    </row>
    <row r="192">
      <c r="A192" s="25" t="n"/>
      <c r="B192" s="26" t="n"/>
      <c r="C192" s="28" t="n"/>
      <c r="D192" s="31" t="n"/>
      <c r="E192" s="29">
        <f>IF(C192="","",C192*N(D192)*30/70)</f>
        <v/>
      </c>
      <c r="F192" s="26" t="n"/>
      <c r="G192" s="26" t="n"/>
      <c r="H192" s="32">
        <f>IF(A192="","","FY"&amp;(YEAR(A192)+IF(MONTH(A192)&gt;=7,1,0)))</f>
        <v/>
      </c>
      <c r="I192" s="26" t="n"/>
    </row>
    <row r="193">
      <c r="A193" s="25" t="n"/>
      <c r="B193" s="26" t="n"/>
      <c r="C193" s="28" t="n"/>
      <c r="D193" s="31" t="n"/>
      <c r="E193" s="29">
        <f>IF(C193="","",C193*N(D193)*30/70)</f>
        <v/>
      </c>
      <c r="F193" s="26" t="n"/>
      <c r="G193" s="26" t="n"/>
      <c r="H193" s="32">
        <f>IF(A193="","","FY"&amp;(YEAR(A193)+IF(MONTH(A193)&gt;=7,1,0)))</f>
        <v/>
      </c>
      <c r="I193" s="26" t="n"/>
    </row>
    <row r="194">
      <c r="A194" s="25" t="n"/>
      <c r="B194" s="26" t="n"/>
      <c r="C194" s="28" t="n"/>
      <c r="D194" s="31" t="n"/>
      <c r="E194" s="29">
        <f>IF(C194="","",C194*N(D194)*30/70)</f>
        <v/>
      </c>
      <c r="F194" s="26" t="n"/>
      <c r="G194" s="26" t="n"/>
      <c r="H194" s="32">
        <f>IF(A194="","","FY"&amp;(YEAR(A194)+IF(MONTH(A194)&gt;=7,1,0)))</f>
        <v/>
      </c>
      <c r="I194" s="26" t="n"/>
    </row>
    <row r="195">
      <c r="A195" s="25" t="n"/>
      <c r="B195" s="26" t="n"/>
      <c r="C195" s="28" t="n"/>
      <c r="D195" s="31" t="n"/>
      <c r="E195" s="29">
        <f>IF(C195="","",C195*N(D195)*30/70)</f>
        <v/>
      </c>
      <c r="F195" s="26" t="n"/>
      <c r="G195" s="26" t="n"/>
      <c r="H195" s="32">
        <f>IF(A195="","","FY"&amp;(YEAR(A195)+IF(MONTH(A195)&gt;=7,1,0)))</f>
        <v/>
      </c>
      <c r="I195" s="26" t="n"/>
    </row>
    <row r="196">
      <c r="A196" s="25" t="n"/>
      <c r="B196" s="26" t="n"/>
      <c r="C196" s="28" t="n"/>
      <c r="D196" s="31" t="n"/>
      <c r="E196" s="29">
        <f>IF(C196="","",C196*N(D196)*30/70)</f>
        <v/>
      </c>
      <c r="F196" s="26" t="n"/>
      <c r="G196" s="26" t="n"/>
      <c r="H196" s="32">
        <f>IF(A196="","","FY"&amp;(YEAR(A196)+IF(MONTH(A196)&gt;=7,1,0)))</f>
        <v/>
      </c>
      <c r="I196" s="26" t="n"/>
    </row>
    <row r="197">
      <c r="A197" s="25" t="n"/>
      <c r="B197" s="26" t="n"/>
      <c r="C197" s="28" t="n"/>
      <c r="D197" s="31" t="n"/>
      <c r="E197" s="29">
        <f>IF(C197="","",C197*N(D197)*30/70)</f>
        <v/>
      </c>
      <c r="F197" s="26" t="n"/>
      <c r="G197" s="26" t="n"/>
      <c r="H197" s="32">
        <f>IF(A197="","","FY"&amp;(YEAR(A197)+IF(MONTH(A197)&gt;=7,1,0)))</f>
        <v/>
      </c>
      <c r="I197" s="26" t="n"/>
    </row>
    <row r="198">
      <c r="A198" s="25" t="n"/>
      <c r="B198" s="26" t="n"/>
      <c r="C198" s="28" t="n"/>
      <c r="D198" s="31" t="n"/>
      <c r="E198" s="29">
        <f>IF(C198="","",C198*N(D198)*30/70)</f>
        <v/>
      </c>
      <c r="F198" s="26" t="n"/>
      <c r="G198" s="26" t="n"/>
      <c r="H198" s="32">
        <f>IF(A198="","","FY"&amp;(YEAR(A198)+IF(MONTH(A198)&gt;=7,1,0)))</f>
        <v/>
      </c>
      <c r="I198" s="26" t="n"/>
    </row>
    <row r="199">
      <c r="A199" s="25" t="n"/>
      <c r="B199" s="26" t="n"/>
      <c r="C199" s="28" t="n"/>
      <c r="D199" s="31" t="n"/>
      <c r="E199" s="29">
        <f>IF(C199="","",C199*N(D199)*30/70)</f>
        <v/>
      </c>
      <c r="F199" s="26" t="n"/>
      <c r="G199" s="26" t="n"/>
      <c r="H199" s="32">
        <f>IF(A199="","","FY"&amp;(YEAR(A199)+IF(MONTH(A199)&gt;=7,1,0)))</f>
        <v/>
      </c>
      <c r="I199" s="26" t="n"/>
    </row>
    <row r="200">
      <c r="A200" s="25" t="n"/>
      <c r="B200" s="26" t="n"/>
      <c r="C200" s="28" t="n"/>
      <c r="D200" s="31" t="n"/>
      <c r="E200" s="29">
        <f>IF(C200="","",C200*N(D200)*30/70)</f>
        <v/>
      </c>
      <c r="F200" s="26" t="n"/>
      <c r="G200" s="26" t="n"/>
      <c r="H200" s="32">
        <f>IF(A200="","","FY"&amp;(YEAR(A200)+IF(MONTH(A200)&gt;=7,1,0)))</f>
        <v/>
      </c>
      <c r="I200" s="26" t="n"/>
    </row>
    <row r="201">
      <c r="A201" s="25" t="n"/>
      <c r="B201" s="26" t="n"/>
      <c r="C201" s="28" t="n"/>
      <c r="D201" s="31" t="n"/>
      <c r="E201" s="29">
        <f>IF(C201="","",C201*N(D201)*30/70)</f>
        <v/>
      </c>
      <c r="F201" s="26" t="n"/>
      <c r="G201" s="26" t="n"/>
      <c r="H201" s="32">
        <f>IF(A201="","","FY"&amp;(YEAR(A201)+IF(MONTH(A201)&gt;=7,1,0)))</f>
        <v/>
      </c>
      <c r="I201" s="26" t="n"/>
    </row>
    <row r="202">
      <c r="A202" s="25" t="n"/>
      <c r="B202" s="26" t="n"/>
      <c r="C202" s="28" t="n"/>
      <c r="D202" s="31" t="n"/>
      <c r="E202" s="29">
        <f>IF(C202="","",C202*N(D202)*30/70)</f>
        <v/>
      </c>
      <c r="F202" s="26" t="n"/>
      <c r="G202" s="26" t="n"/>
      <c r="H202" s="32">
        <f>IF(A202="","","FY"&amp;(YEAR(A202)+IF(MONTH(A202)&gt;=7,1,0)))</f>
        <v/>
      </c>
      <c r="I202" s="26" t="n"/>
    </row>
    <row r="203">
      <c r="A203" s="25" t="n"/>
      <c r="B203" s="26" t="n"/>
      <c r="C203" s="28" t="n"/>
      <c r="D203" s="31" t="n"/>
      <c r="E203" s="29">
        <f>IF(C203="","",C203*N(D203)*30/70)</f>
        <v/>
      </c>
      <c r="F203" s="26" t="n"/>
      <c r="G203" s="26" t="n"/>
      <c r="H203" s="32">
        <f>IF(A203="","","FY"&amp;(YEAR(A203)+IF(MONTH(A203)&gt;=7,1,0)))</f>
        <v/>
      </c>
      <c r="I203" s="26" t="n"/>
    </row>
    <row r="204">
      <c r="A204" s="25" t="n"/>
      <c r="B204" s="26" t="n"/>
      <c r="C204" s="28" t="n"/>
      <c r="D204" s="31" t="n"/>
      <c r="E204" s="29">
        <f>IF(C204="","",C204*N(D204)*30/70)</f>
        <v/>
      </c>
      <c r="F204" s="26" t="n"/>
      <c r="G204" s="26" t="n"/>
      <c r="H204" s="32">
        <f>IF(A204="","","FY"&amp;(YEAR(A204)+IF(MONTH(A204)&gt;=7,1,0)))</f>
        <v/>
      </c>
      <c r="I204" s="26" t="n"/>
    </row>
    <row r="205">
      <c r="A205" s="25" t="n"/>
      <c r="B205" s="26" t="n"/>
      <c r="C205" s="28" t="n"/>
      <c r="D205" s="31" t="n"/>
      <c r="E205" s="29">
        <f>IF(C205="","",C205*N(D205)*30/70)</f>
        <v/>
      </c>
      <c r="F205" s="26" t="n"/>
      <c r="G205" s="26" t="n"/>
      <c r="H205" s="32">
        <f>IF(A205="","","FY"&amp;(YEAR(A205)+IF(MONTH(A205)&gt;=7,1,0)))</f>
        <v/>
      </c>
      <c r="I205" s="26" t="n"/>
    </row>
    <row r="206">
      <c r="A206" s="25" t="n"/>
      <c r="B206" s="26" t="n"/>
      <c r="C206" s="28" t="n"/>
      <c r="D206" s="31" t="n"/>
      <c r="E206" s="29">
        <f>IF(C206="","",C206*N(D206)*30/70)</f>
        <v/>
      </c>
      <c r="F206" s="26" t="n"/>
      <c r="G206" s="26" t="n"/>
      <c r="H206" s="32">
        <f>IF(A206="","","FY"&amp;(YEAR(A206)+IF(MONTH(A206)&gt;=7,1,0)))</f>
        <v/>
      </c>
      <c r="I206" s="26" t="n"/>
    </row>
    <row r="207">
      <c r="A207" s="25" t="n"/>
      <c r="B207" s="26" t="n"/>
      <c r="C207" s="28" t="n"/>
      <c r="D207" s="31" t="n"/>
      <c r="E207" s="29">
        <f>IF(C207="","",C207*N(D207)*30/70)</f>
        <v/>
      </c>
      <c r="F207" s="26" t="n"/>
      <c r="G207" s="26" t="n"/>
      <c r="H207" s="32">
        <f>IF(A207="","","FY"&amp;(YEAR(A207)+IF(MONTH(A207)&gt;=7,1,0)))</f>
        <v/>
      </c>
      <c r="I207" s="26" t="n"/>
    </row>
    <row r="208">
      <c r="A208" s="25" t="n"/>
      <c r="B208" s="26" t="n"/>
      <c r="C208" s="28" t="n"/>
      <c r="D208" s="31" t="n"/>
      <c r="E208" s="29">
        <f>IF(C208="","",C208*N(D208)*30/70)</f>
        <v/>
      </c>
      <c r="F208" s="26" t="n"/>
      <c r="G208" s="26" t="n"/>
      <c r="H208" s="32">
        <f>IF(A208="","","FY"&amp;(YEAR(A208)+IF(MONTH(A208)&gt;=7,1,0)))</f>
        <v/>
      </c>
      <c r="I208" s="26" t="n"/>
    </row>
    <row r="209">
      <c r="A209" s="25" t="n"/>
      <c r="B209" s="26" t="n"/>
      <c r="C209" s="28" t="n"/>
      <c r="D209" s="31" t="n"/>
      <c r="E209" s="29">
        <f>IF(C209="","",C209*N(D209)*30/70)</f>
        <v/>
      </c>
      <c r="F209" s="26" t="n"/>
      <c r="G209" s="26" t="n"/>
      <c r="H209" s="32">
        <f>IF(A209="","","FY"&amp;(YEAR(A209)+IF(MONTH(A209)&gt;=7,1,0)))</f>
        <v/>
      </c>
      <c r="I209" s="26" t="n"/>
    </row>
    <row r="210">
      <c r="A210" s="25" t="n"/>
      <c r="B210" s="26" t="n"/>
      <c r="C210" s="28" t="n"/>
      <c r="D210" s="31" t="n"/>
      <c r="E210" s="29">
        <f>IF(C210="","",C210*N(D210)*30/70)</f>
        <v/>
      </c>
      <c r="F210" s="26" t="n"/>
      <c r="G210" s="26" t="n"/>
      <c r="H210" s="32">
        <f>IF(A210="","","FY"&amp;(YEAR(A210)+IF(MONTH(A210)&gt;=7,1,0)))</f>
        <v/>
      </c>
      <c r="I210" s="26" t="n"/>
    </row>
    <row r="211">
      <c r="A211" s="25" t="n"/>
      <c r="B211" s="26" t="n"/>
      <c r="C211" s="28" t="n"/>
      <c r="D211" s="31" t="n"/>
      <c r="E211" s="29">
        <f>IF(C211="","",C211*N(D211)*30/70)</f>
        <v/>
      </c>
      <c r="F211" s="26" t="n"/>
      <c r="G211" s="26" t="n"/>
      <c r="H211" s="32">
        <f>IF(A211="","","FY"&amp;(YEAR(A211)+IF(MONTH(A211)&gt;=7,1,0)))</f>
        <v/>
      </c>
      <c r="I211" s="26" t="n"/>
    </row>
    <row r="212">
      <c r="A212" s="25" t="n"/>
      <c r="B212" s="26" t="n"/>
      <c r="C212" s="28" t="n"/>
      <c r="D212" s="31" t="n"/>
      <c r="E212" s="29">
        <f>IF(C212="","",C212*N(D212)*30/70)</f>
        <v/>
      </c>
      <c r="F212" s="26" t="n"/>
      <c r="G212" s="26" t="n"/>
      <c r="H212" s="32">
        <f>IF(A212="","","FY"&amp;(YEAR(A212)+IF(MONTH(A212)&gt;=7,1,0)))</f>
        <v/>
      </c>
      <c r="I212" s="26" t="n"/>
    </row>
    <row r="213">
      <c r="A213" s="25" t="n"/>
      <c r="B213" s="26" t="n"/>
      <c r="C213" s="28" t="n"/>
      <c r="D213" s="31" t="n"/>
      <c r="E213" s="29">
        <f>IF(C213="","",C213*N(D213)*30/70)</f>
        <v/>
      </c>
      <c r="F213" s="26" t="n"/>
      <c r="G213" s="26" t="n"/>
      <c r="H213" s="32">
        <f>IF(A213="","","FY"&amp;(YEAR(A213)+IF(MONTH(A213)&gt;=7,1,0)))</f>
        <v/>
      </c>
      <c r="I213" s="26" t="n"/>
    </row>
    <row r="214">
      <c r="A214" s="25" t="n"/>
      <c r="B214" s="26" t="n"/>
      <c r="C214" s="28" t="n"/>
      <c r="D214" s="31" t="n"/>
      <c r="E214" s="29">
        <f>IF(C214="","",C214*N(D214)*30/70)</f>
        <v/>
      </c>
      <c r="F214" s="26" t="n"/>
      <c r="G214" s="26" t="n"/>
      <c r="H214" s="32">
        <f>IF(A214="","","FY"&amp;(YEAR(A214)+IF(MONTH(A214)&gt;=7,1,0)))</f>
        <v/>
      </c>
      <c r="I214" s="26" t="n"/>
    </row>
    <row r="215">
      <c r="A215" s="25" t="n"/>
      <c r="B215" s="26" t="n"/>
      <c r="C215" s="28" t="n"/>
      <c r="D215" s="31" t="n"/>
      <c r="E215" s="29">
        <f>IF(C215="","",C215*N(D215)*30/70)</f>
        <v/>
      </c>
      <c r="F215" s="26" t="n"/>
      <c r="G215" s="26" t="n"/>
      <c r="H215" s="32">
        <f>IF(A215="","","FY"&amp;(YEAR(A215)+IF(MONTH(A215)&gt;=7,1,0)))</f>
        <v/>
      </c>
      <c r="I215" s="26" t="n"/>
    </row>
    <row r="216">
      <c r="A216" s="25" t="n"/>
      <c r="B216" s="26" t="n"/>
      <c r="C216" s="28" t="n"/>
      <c r="D216" s="31" t="n"/>
      <c r="E216" s="29">
        <f>IF(C216="","",C216*N(D216)*30/70)</f>
        <v/>
      </c>
      <c r="F216" s="26" t="n"/>
      <c r="G216" s="26" t="n"/>
      <c r="H216" s="32">
        <f>IF(A216="","","FY"&amp;(YEAR(A216)+IF(MONTH(A216)&gt;=7,1,0)))</f>
        <v/>
      </c>
      <c r="I216" s="26" t="n"/>
    </row>
    <row r="217">
      <c r="A217" s="25" t="n"/>
      <c r="B217" s="26" t="n"/>
      <c r="C217" s="28" t="n"/>
      <c r="D217" s="31" t="n"/>
      <c r="E217" s="29">
        <f>IF(C217="","",C217*N(D217)*30/70)</f>
        <v/>
      </c>
      <c r="F217" s="26" t="n"/>
      <c r="G217" s="26" t="n"/>
      <c r="H217" s="32">
        <f>IF(A217="","","FY"&amp;(YEAR(A217)+IF(MONTH(A217)&gt;=7,1,0)))</f>
        <v/>
      </c>
      <c r="I217" s="26" t="n"/>
    </row>
    <row r="218">
      <c r="A218" s="25" t="n"/>
      <c r="B218" s="26" t="n"/>
      <c r="C218" s="28" t="n"/>
      <c r="D218" s="31" t="n"/>
      <c r="E218" s="29">
        <f>IF(C218="","",C218*N(D218)*30/70)</f>
        <v/>
      </c>
      <c r="F218" s="26" t="n"/>
      <c r="G218" s="26" t="n"/>
      <c r="H218" s="32">
        <f>IF(A218="","","FY"&amp;(YEAR(A218)+IF(MONTH(A218)&gt;=7,1,0)))</f>
        <v/>
      </c>
      <c r="I218" s="26" t="n"/>
    </row>
    <row r="219">
      <c r="A219" s="25" t="n"/>
      <c r="B219" s="26" t="n"/>
      <c r="C219" s="28" t="n"/>
      <c r="D219" s="31" t="n"/>
      <c r="E219" s="29">
        <f>IF(C219="","",C219*N(D219)*30/70)</f>
        <v/>
      </c>
      <c r="F219" s="26" t="n"/>
      <c r="G219" s="26" t="n"/>
      <c r="H219" s="32">
        <f>IF(A219="","","FY"&amp;(YEAR(A219)+IF(MONTH(A219)&gt;=7,1,0)))</f>
        <v/>
      </c>
      <c r="I219" s="26" t="n"/>
    </row>
    <row r="220">
      <c r="A220" s="25" t="n"/>
      <c r="B220" s="26" t="n"/>
      <c r="C220" s="28" t="n"/>
      <c r="D220" s="31" t="n"/>
      <c r="E220" s="29">
        <f>IF(C220="","",C220*N(D220)*30/70)</f>
        <v/>
      </c>
      <c r="F220" s="26" t="n"/>
      <c r="G220" s="26" t="n"/>
      <c r="H220" s="32">
        <f>IF(A220="","","FY"&amp;(YEAR(A220)+IF(MONTH(A220)&gt;=7,1,0)))</f>
        <v/>
      </c>
      <c r="I220" s="26" t="n"/>
    </row>
    <row r="221">
      <c r="A221" s="25" t="n"/>
      <c r="B221" s="26" t="n"/>
      <c r="C221" s="28" t="n"/>
      <c r="D221" s="31" t="n"/>
      <c r="E221" s="29">
        <f>IF(C221="","",C221*N(D221)*30/70)</f>
        <v/>
      </c>
      <c r="F221" s="26" t="n"/>
      <c r="G221" s="26" t="n"/>
      <c r="H221" s="32">
        <f>IF(A221="","","FY"&amp;(YEAR(A221)+IF(MONTH(A221)&gt;=7,1,0)))</f>
        <v/>
      </c>
      <c r="I221" s="26" t="n"/>
    </row>
    <row r="222">
      <c r="A222" s="25" t="n"/>
      <c r="B222" s="26" t="n"/>
      <c r="C222" s="28" t="n"/>
      <c r="D222" s="31" t="n"/>
      <c r="E222" s="29">
        <f>IF(C222="","",C222*N(D222)*30/70)</f>
        <v/>
      </c>
      <c r="F222" s="26" t="n"/>
      <c r="G222" s="26" t="n"/>
      <c r="H222" s="32">
        <f>IF(A222="","","FY"&amp;(YEAR(A222)+IF(MONTH(A222)&gt;=7,1,0)))</f>
        <v/>
      </c>
      <c r="I222" s="26" t="n"/>
    </row>
    <row r="223">
      <c r="A223" s="25" t="n"/>
      <c r="B223" s="26" t="n"/>
      <c r="C223" s="28" t="n"/>
      <c r="D223" s="31" t="n"/>
      <c r="E223" s="29">
        <f>IF(C223="","",C223*N(D223)*30/70)</f>
        <v/>
      </c>
      <c r="F223" s="26" t="n"/>
      <c r="G223" s="26" t="n"/>
      <c r="H223" s="32">
        <f>IF(A223="","","FY"&amp;(YEAR(A223)+IF(MONTH(A223)&gt;=7,1,0)))</f>
        <v/>
      </c>
      <c r="I223" s="26" t="n"/>
    </row>
    <row r="224">
      <c r="A224" s="25" t="n"/>
      <c r="B224" s="26" t="n"/>
      <c r="C224" s="28" t="n"/>
      <c r="D224" s="31" t="n"/>
      <c r="E224" s="29">
        <f>IF(C224="","",C224*N(D224)*30/70)</f>
        <v/>
      </c>
      <c r="F224" s="26" t="n"/>
      <c r="G224" s="26" t="n"/>
      <c r="H224" s="32">
        <f>IF(A224="","","FY"&amp;(YEAR(A224)+IF(MONTH(A224)&gt;=7,1,0)))</f>
        <v/>
      </c>
      <c r="I224" s="26" t="n"/>
    </row>
    <row r="225">
      <c r="A225" s="25" t="n"/>
      <c r="B225" s="26" t="n"/>
      <c r="C225" s="28" t="n"/>
      <c r="D225" s="31" t="n"/>
      <c r="E225" s="29">
        <f>IF(C225="","",C225*N(D225)*30/70)</f>
        <v/>
      </c>
      <c r="F225" s="26" t="n"/>
      <c r="G225" s="26" t="n"/>
      <c r="H225" s="32">
        <f>IF(A225="","","FY"&amp;(YEAR(A225)+IF(MONTH(A225)&gt;=7,1,0)))</f>
        <v/>
      </c>
      <c r="I225" s="26" t="n"/>
    </row>
    <row r="226">
      <c r="A226" s="25" t="n"/>
      <c r="B226" s="26" t="n"/>
      <c r="C226" s="28" t="n"/>
      <c r="D226" s="31" t="n"/>
      <c r="E226" s="29">
        <f>IF(C226="","",C226*N(D226)*30/70)</f>
        <v/>
      </c>
      <c r="F226" s="26" t="n"/>
      <c r="G226" s="26" t="n"/>
      <c r="H226" s="32">
        <f>IF(A226="","","FY"&amp;(YEAR(A226)+IF(MONTH(A226)&gt;=7,1,0)))</f>
        <v/>
      </c>
      <c r="I226" s="26" t="n"/>
    </row>
    <row r="227">
      <c r="A227" s="25" t="n"/>
      <c r="B227" s="26" t="n"/>
      <c r="C227" s="28" t="n"/>
      <c r="D227" s="31" t="n"/>
      <c r="E227" s="29">
        <f>IF(C227="","",C227*N(D227)*30/70)</f>
        <v/>
      </c>
      <c r="F227" s="26" t="n"/>
      <c r="G227" s="26" t="n"/>
      <c r="H227" s="32">
        <f>IF(A227="","","FY"&amp;(YEAR(A227)+IF(MONTH(A227)&gt;=7,1,0)))</f>
        <v/>
      </c>
      <c r="I227" s="26" t="n"/>
    </row>
    <row r="228">
      <c r="A228" s="25" t="n"/>
      <c r="B228" s="26" t="n"/>
      <c r="C228" s="28" t="n"/>
      <c r="D228" s="31" t="n"/>
      <c r="E228" s="29">
        <f>IF(C228="","",C228*N(D228)*30/70)</f>
        <v/>
      </c>
      <c r="F228" s="26" t="n"/>
      <c r="G228" s="26" t="n"/>
      <c r="H228" s="32">
        <f>IF(A228="","","FY"&amp;(YEAR(A228)+IF(MONTH(A228)&gt;=7,1,0)))</f>
        <v/>
      </c>
      <c r="I228" s="26" t="n"/>
    </row>
    <row r="229">
      <c r="A229" s="25" t="n"/>
      <c r="B229" s="26" t="n"/>
      <c r="C229" s="28" t="n"/>
      <c r="D229" s="31" t="n"/>
      <c r="E229" s="29">
        <f>IF(C229="","",C229*N(D229)*30/70)</f>
        <v/>
      </c>
      <c r="F229" s="26" t="n"/>
      <c r="G229" s="26" t="n"/>
      <c r="H229" s="32">
        <f>IF(A229="","","FY"&amp;(YEAR(A229)+IF(MONTH(A229)&gt;=7,1,0)))</f>
        <v/>
      </c>
      <c r="I229" s="26" t="n"/>
    </row>
    <row r="230">
      <c r="A230" s="25" t="n"/>
      <c r="B230" s="26" t="n"/>
      <c r="C230" s="28" t="n"/>
      <c r="D230" s="31" t="n"/>
      <c r="E230" s="29">
        <f>IF(C230="","",C230*N(D230)*30/70)</f>
        <v/>
      </c>
      <c r="F230" s="26" t="n"/>
      <c r="G230" s="26" t="n"/>
      <c r="H230" s="32">
        <f>IF(A230="","","FY"&amp;(YEAR(A230)+IF(MONTH(A230)&gt;=7,1,0)))</f>
        <v/>
      </c>
      <c r="I230" s="26" t="n"/>
    </row>
    <row r="231">
      <c r="A231" s="25" t="n"/>
      <c r="B231" s="26" t="n"/>
      <c r="C231" s="28" t="n"/>
      <c r="D231" s="31" t="n"/>
      <c r="E231" s="29">
        <f>IF(C231="","",C231*N(D231)*30/70)</f>
        <v/>
      </c>
      <c r="F231" s="26" t="n"/>
      <c r="G231" s="26" t="n"/>
      <c r="H231" s="32">
        <f>IF(A231="","","FY"&amp;(YEAR(A231)+IF(MONTH(A231)&gt;=7,1,0)))</f>
        <v/>
      </c>
      <c r="I231" s="26" t="n"/>
    </row>
    <row r="232">
      <c r="A232" s="25" t="n"/>
      <c r="B232" s="26" t="n"/>
      <c r="C232" s="28" t="n"/>
      <c r="D232" s="31" t="n"/>
      <c r="E232" s="29">
        <f>IF(C232="","",C232*N(D232)*30/70)</f>
        <v/>
      </c>
      <c r="F232" s="26" t="n"/>
      <c r="G232" s="26" t="n"/>
      <c r="H232" s="32">
        <f>IF(A232="","","FY"&amp;(YEAR(A232)+IF(MONTH(A232)&gt;=7,1,0)))</f>
        <v/>
      </c>
      <c r="I232" s="26" t="n"/>
    </row>
    <row r="233">
      <c r="A233" s="25" t="n"/>
      <c r="B233" s="26" t="n"/>
      <c r="C233" s="28" t="n"/>
      <c r="D233" s="31" t="n"/>
      <c r="E233" s="29">
        <f>IF(C233="","",C233*N(D233)*30/70)</f>
        <v/>
      </c>
      <c r="F233" s="26" t="n"/>
      <c r="G233" s="26" t="n"/>
      <c r="H233" s="32">
        <f>IF(A233="","","FY"&amp;(YEAR(A233)+IF(MONTH(A233)&gt;=7,1,0)))</f>
        <v/>
      </c>
      <c r="I233" s="26" t="n"/>
    </row>
    <row r="234">
      <c r="A234" s="25" t="n"/>
      <c r="B234" s="26" t="n"/>
      <c r="C234" s="28" t="n"/>
      <c r="D234" s="31" t="n"/>
      <c r="E234" s="29">
        <f>IF(C234="","",C234*N(D234)*30/70)</f>
        <v/>
      </c>
      <c r="F234" s="26" t="n"/>
      <c r="G234" s="26" t="n"/>
      <c r="H234" s="32">
        <f>IF(A234="","","FY"&amp;(YEAR(A234)+IF(MONTH(A234)&gt;=7,1,0)))</f>
        <v/>
      </c>
      <c r="I234" s="26" t="n"/>
    </row>
    <row r="235">
      <c r="A235" s="25" t="n"/>
      <c r="B235" s="26" t="n"/>
      <c r="C235" s="28" t="n"/>
      <c r="D235" s="31" t="n"/>
      <c r="E235" s="29">
        <f>IF(C235="","",C235*N(D235)*30/70)</f>
        <v/>
      </c>
      <c r="F235" s="26" t="n"/>
      <c r="G235" s="26" t="n"/>
      <c r="H235" s="32">
        <f>IF(A235="","","FY"&amp;(YEAR(A235)+IF(MONTH(A235)&gt;=7,1,0)))</f>
        <v/>
      </c>
      <c r="I235" s="26" t="n"/>
    </row>
    <row r="236">
      <c r="A236" s="25" t="n"/>
      <c r="B236" s="26" t="n"/>
      <c r="C236" s="28" t="n"/>
      <c r="D236" s="31" t="n"/>
      <c r="E236" s="29">
        <f>IF(C236="","",C236*N(D236)*30/70)</f>
        <v/>
      </c>
      <c r="F236" s="26" t="n"/>
      <c r="G236" s="26" t="n"/>
      <c r="H236" s="32">
        <f>IF(A236="","","FY"&amp;(YEAR(A236)+IF(MONTH(A236)&gt;=7,1,0)))</f>
        <v/>
      </c>
      <c r="I236" s="26" t="n"/>
    </row>
    <row r="237">
      <c r="A237" s="25" t="n"/>
      <c r="B237" s="26" t="n"/>
      <c r="C237" s="28" t="n"/>
      <c r="D237" s="31" t="n"/>
      <c r="E237" s="29">
        <f>IF(C237="","",C237*N(D237)*30/70)</f>
        <v/>
      </c>
      <c r="F237" s="26" t="n"/>
      <c r="G237" s="26" t="n"/>
      <c r="H237" s="32">
        <f>IF(A237="","","FY"&amp;(YEAR(A237)+IF(MONTH(A237)&gt;=7,1,0)))</f>
        <v/>
      </c>
      <c r="I237" s="26" t="n"/>
    </row>
    <row r="238">
      <c r="A238" s="25" t="n"/>
      <c r="B238" s="26" t="n"/>
      <c r="C238" s="28" t="n"/>
      <c r="D238" s="31" t="n"/>
      <c r="E238" s="29">
        <f>IF(C238="","",C238*N(D238)*30/70)</f>
        <v/>
      </c>
      <c r="F238" s="26" t="n"/>
      <c r="G238" s="26" t="n"/>
      <c r="H238" s="32">
        <f>IF(A238="","","FY"&amp;(YEAR(A238)+IF(MONTH(A238)&gt;=7,1,0)))</f>
        <v/>
      </c>
      <c r="I238" s="26" t="n"/>
    </row>
    <row r="239">
      <c r="A239" s="25" t="n"/>
      <c r="B239" s="26" t="n"/>
      <c r="C239" s="28" t="n"/>
      <c r="D239" s="31" t="n"/>
      <c r="E239" s="29">
        <f>IF(C239="","",C239*N(D239)*30/70)</f>
        <v/>
      </c>
      <c r="F239" s="26" t="n"/>
      <c r="G239" s="26" t="n"/>
      <c r="H239" s="32">
        <f>IF(A239="","","FY"&amp;(YEAR(A239)+IF(MONTH(A239)&gt;=7,1,0)))</f>
        <v/>
      </c>
      <c r="I239" s="26" t="n"/>
    </row>
    <row r="240">
      <c r="A240" s="25" t="n"/>
      <c r="B240" s="26" t="n"/>
      <c r="C240" s="28" t="n"/>
      <c r="D240" s="31" t="n"/>
      <c r="E240" s="29">
        <f>IF(C240="","",C240*N(D240)*30/70)</f>
        <v/>
      </c>
      <c r="F240" s="26" t="n"/>
      <c r="G240" s="26" t="n"/>
      <c r="H240" s="32">
        <f>IF(A240="","","FY"&amp;(YEAR(A240)+IF(MONTH(A240)&gt;=7,1,0)))</f>
        <v/>
      </c>
      <c r="I240" s="26" t="n"/>
    </row>
    <row r="241">
      <c r="A241" s="25" t="n"/>
      <c r="B241" s="26" t="n"/>
      <c r="C241" s="28" t="n"/>
      <c r="D241" s="31" t="n"/>
      <c r="E241" s="29">
        <f>IF(C241="","",C241*N(D241)*30/70)</f>
        <v/>
      </c>
      <c r="F241" s="26" t="n"/>
      <c r="G241" s="26" t="n"/>
      <c r="H241" s="32">
        <f>IF(A241="","","FY"&amp;(YEAR(A241)+IF(MONTH(A241)&gt;=7,1,0)))</f>
        <v/>
      </c>
      <c r="I241" s="26" t="n"/>
    </row>
    <row r="242">
      <c r="A242" s="25" t="n"/>
      <c r="B242" s="26" t="n"/>
      <c r="C242" s="28" t="n"/>
      <c r="D242" s="31" t="n"/>
      <c r="E242" s="29">
        <f>IF(C242="","",C242*N(D242)*30/70)</f>
        <v/>
      </c>
      <c r="F242" s="26" t="n"/>
      <c r="G242" s="26" t="n"/>
      <c r="H242" s="32">
        <f>IF(A242="","","FY"&amp;(YEAR(A242)+IF(MONTH(A242)&gt;=7,1,0)))</f>
        <v/>
      </c>
      <c r="I242" s="26" t="n"/>
    </row>
    <row r="243">
      <c r="A243" s="25" t="n"/>
      <c r="B243" s="26" t="n"/>
      <c r="C243" s="28" t="n"/>
      <c r="D243" s="31" t="n"/>
      <c r="E243" s="29">
        <f>IF(C243="","",C243*N(D243)*30/70)</f>
        <v/>
      </c>
      <c r="F243" s="26" t="n"/>
      <c r="G243" s="26" t="n"/>
      <c r="H243" s="32">
        <f>IF(A243="","","FY"&amp;(YEAR(A243)+IF(MONTH(A243)&gt;=7,1,0)))</f>
        <v/>
      </c>
      <c r="I243" s="26" t="n"/>
    </row>
    <row r="244">
      <c r="A244" s="25" t="n"/>
      <c r="B244" s="26" t="n"/>
      <c r="C244" s="28" t="n"/>
      <c r="D244" s="31" t="n"/>
      <c r="E244" s="29">
        <f>IF(C244="","",C244*N(D244)*30/70)</f>
        <v/>
      </c>
      <c r="F244" s="26" t="n"/>
      <c r="G244" s="26" t="n"/>
      <c r="H244" s="32">
        <f>IF(A244="","","FY"&amp;(YEAR(A244)+IF(MONTH(A244)&gt;=7,1,0)))</f>
        <v/>
      </c>
      <c r="I244" s="26" t="n"/>
    </row>
    <row r="245">
      <c r="A245" s="25" t="n"/>
      <c r="B245" s="26" t="n"/>
      <c r="C245" s="28" t="n"/>
      <c r="D245" s="31" t="n"/>
      <c r="E245" s="29">
        <f>IF(C245="","",C245*N(D245)*30/70)</f>
        <v/>
      </c>
      <c r="F245" s="26" t="n"/>
      <c r="G245" s="26" t="n"/>
      <c r="H245" s="32">
        <f>IF(A245="","","FY"&amp;(YEAR(A245)+IF(MONTH(A245)&gt;=7,1,0)))</f>
        <v/>
      </c>
      <c r="I245" s="26" t="n"/>
    </row>
    <row r="246">
      <c r="A246" s="25" t="n"/>
      <c r="B246" s="26" t="n"/>
      <c r="C246" s="28" t="n"/>
      <c r="D246" s="31" t="n"/>
      <c r="E246" s="29">
        <f>IF(C246="","",C246*N(D246)*30/70)</f>
        <v/>
      </c>
      <c r="F246" s="26" t="n"/>
      <c r="G246" s="26" t="n"/>
      <c r="H246" s="32">
        <f>IF(A246="","","FY"&amp;(YEAR(A246)+IF(MONTH(A246)&gt;=7,1,0)))</f>
        <v/>
      </c>
      <c r="I246" s="26" t="n"/>
    </row>
    <row r="247">
      <c r="A247" s="25" t="n"/>
      <c r="B247" s="26" t="n"/>
      <c r="C247" s="28" t="n"/>
      <c r="D247" s="31" t="n"/>
      <c r="E247" s="29">
        <f>IF(C247="","",C247*N(D247)*30/70)</f>
        <v/>
      </c>
      <c r="F247" s="26" t="n"/>
      <c r="G247" s="26" t="n"/>
      <c r="H247" s="32">
        <f>IF(A247="","","FY"&amp;(YEAR(A247)+IF(MONTH(A247)&gt;=7,1,0)))</f>
        <v/>
      </c>
      <c r="I247" s="26" t="n"/>
    </row>
    <row r="248">
      <c r="A248" s="25" t="n"/>
      <c r="B248" s="26" t="n"/>
      <c r="C248" s="28" t="n"/>
      <c r="D248" s="31" t="n"/>
      <c r="E248" s="29">
        <f>IF(C248="","",C248*N(D248)*30/70)</f>
        <v/>
      </c>
      <c r="F248" s="26" t="n"/>
      <c r="G248" s="26" t="n"/>
      <c r="H248" s="32">
        <f>IF(A248="","","FY"&amp;(YEAR(A248)+IF(MONTH(A248)&gt;=7,1,0)))</f>
        <v/>
      </c>
      <c r="I248" s="26" t="n"/>
    </row>
    <row r="249">
      <c r="A249" s="25" t="n"/>
      <c r="B249" s="26" t="n"/>
      <c r="C249" s="28" t="n"/>
      <c r="D249" s="31" t="n"/>
      <c r="E249" s="29">
        <f>IF(C249="","",C249*N(D249)*30/70)</f>
        <v/>
      </c>
      <c r="F249" s="26" t="n"/>
      <c r="G249" s="26" t="n"/>
      <c r="H249" s="32">
        <f>IF(A249="","","FY"&amp;(YEAR(A249)+IF(MONTH(A249)&gt;=7,1,0)))</f>
        <v/>
      </c>
      <c r="I249" s="26" t="n"/>
    </row>
    <row r="250">
      <c r="A250" s="25" t="n"/>
      <c r="B250" s="26" t="n"/>
      <c r="C250" s="28" t="n"/>
      <c r="D250" s="31" t="n"/>
      <c r="E250" s="29">
        <f>IF(C250="","",C250*N(D250)*30/70)</f>
        <v/>
      </c>
      <c r="F250" s="26" t="n"/>
      <c r="G250" s="26" t="n"/>
      <c r="H250" s="32">
        <f>IF(A250="","","FY"&amp;(YEAR(A250)+IF(MONTH(A250)&gt;=7,1,0)))</f>
        <v/>
      </c>
      <c r="I250" s="26" t="n"/>
    </row>
    <row r="251">
      <c r="A251" s="25" t="n"/>
      <c r="B251" s="26" t="n"/>
      <c r="C251" s="28" t="n"/>
      <c r="D251" s="31" t="n"/>
      <c r="E251" s="29">
        <f>IF(C251="","",C251*N(D251)*30/70)</f>
        <v/>
      </c>
      <c r="F251" s="26" t="n"/>
      <c r="G251" s="26" t="n"/>
      <c r="H251" s="32">
        <f>IF(A251="","","FY"&amp;(YEAR(A251)+IF(MONTH(A251)&gt;=7,1,0)))</f>
        <v/>
      </c>
      <c r="I251" s="26" t="n"/>
    </row>
    <row r="252">
      <c r="A252" s="25" t="n"/>
      <c r="B252" s="26" t="n"/>
      <c r="C252" s="28" t="n"/>
      <c r="D252" s="31" t="n"/>
      <c r="E252" s="29">
        <f>IF(C252="","",C252*N(D252)*30/70)</f>
        <v/>
      </c>
      <c r="F252" s="26" t="n"/>
      <c r="G252" s="26" t="n"/>
      <c r="H252" s="32">
        <f>IF(A252="","","FY"&amp;(YEAR(A252)+IF(MONTH(A252)&gt;=7,1,0)))</f>
        <v/>
      </c>
      <c r="I252" s="26" t="n"/>
    </row>
    <row r="253">
      <c r="A253" s="25" t="n"/>
      <c r="B253" s="26" t="n"/>
      <c r="C253" s="28" t="n"/>
      <c r="D253" s="31" t="n"/>
      <c r="E253" s="29">
        <f>IF(C253="","",C253*N(D253)*30/70)</f>
        <v/>
      </c>
      <c r="F253" s="26" t="n"/>
      <c r="G253" s="26" t="n"/>
      <c r="H253" s="32">
        <f>IF(A253="","","FY"&amp;(YEAR(A253)+IF(MONTH(A253)&gt;=7,1,0)))</f>
        <v/>
      </c>
      <c r="I253" s="26" t="n"/>
    </row>
    <row r="254">
      <c r="A254" s="25" t="n"/>
      <c r="B254" s="26" t="n"/>
      <c r="C254" s="28" t="n"/>
      <c r="D254" s="31" t="n"/>
      <c r="E254" s="29">
        <f>IF(C254="","",C254*N(D254)*30/70)</f>
        <v/>
      </c>
      <c r="F254" s="26" t="n"/>
      <c r="G254" s="26" t="n"/>
      <c r="H254" s="32">
        <f>IF(A254="","","FY"&amp;(YEAR(A254)+IF(MONTH(A254)&gt;=7,1,0)))</f>
        <v/>
      </c>
      <c r="I254" s="26" t="n"/>
    </row>
    <row r="255">
      <c r="A255" s="25" t="n"/>
      <c r="B255" s="26" t="n"/>
      <c r="C255" s="28" t="n"/>
      <c r="D255" s="31" t="n"/>
      <c r="E255" s="29">
        <f>IF(C255="","",C255*N(D255)*30/70)</f>
        <v/>
      </c>
      <c r="F255" s="26" t="n"/>
      <c r="G255" s="26" t="n"/>
      <c r="H255" s="32">
        <f>IF(A255="","","FY"&amp;(YEAR(A255)+IF(MONTH(A255)&gt;=7,1,0)))</f>
        <v/>
      </c>
      <c r="I255" s="26" t="n"/>
    </row>
    <row r="256">
      <c r="A256" s="25" t="n"/>
      <c r="B256" s="26" t="n"/>
      <c r="C256" s="28" t="n"/>
      <c r="D256" s="31" t="n"/>
      <c r="E256" s="29">
        <f>IF(C256="","",C256*N(D256)*30/70)</f>
        <v/>
      </c>
      <c r="F256" s="26" t="n"/>
      <c r="G256" s="26" t="n"/>
      <c r="H256" s="32">
        <f>IF(A256="","","FY"&amp;(YEAR(A256)+IF(MONTH(A256)&gt;=7,1,0)))</f>
        <v/>
      </c>
      <c r="I256" s="26" t="n"/>
    </row>
    <row r="257">
      <c r="A257" s="25" t="n"/>
      <c r="B257" s="26" t="n"/>
      <c r="C257" s="28" t="n"/>
      <c r="D257" s="31" t="n"/>
      <c r="E257" s="29">
        <f>IF(C257="","",C257*N(D257)*30/70)</f>
        <v/>
      </c>
      <c r="F257" s="26" t="n"/>
      <c r="G257" s="26" t="n"/>
      <c r="H257" s="32">
        <f>IF(A257="","","FY"&amp;(YEAR(A257)+IF(MONTH(A257)&gt;=7,1,0)))</f>
        <v/>
      </c>
      <c r="I257" s="26" t="n"/>
    </row>
    <row r="258">
      <c r="A258" s="25" t="n"/>
      <c r="B258" s="26" t="n"/>
      <c r="C258" s="28" t="n"/>
      <c r="D258" s="31" t="n"/>
      <c r="E258" s="29">
        <f>IF(C258="","",C258*N(D258)*30/70)</f>
        <v/>
      </c>
      <c r="F258" s="26" t="n"/>
      <c r="G258" s="26" t="n"/>
      <c r="H258" s="32">
        <f>IF(A258="","","FY"&amp;(YEAR(A258)+IF(MONTH(A258)&gt;=7,1,0)))</f>
        <v/>
      </c>
      <c r="I258" s="26" t="n"/>
    </row>
    <row r="259">
      <c r="A259" s="25" t="n"/>
      <c r="B259" s="26" t="n"/>
      <c r="C259" s="28" t="n"/>
      <c r="D259" s="31" t="n"/>
      <c r="E259" s="29">
        <f>IF(C259="","",C259*N(D259)*30/70)</f>
        <v/>
      </c>
      <c r="F259" s="26" t="n"/>
      <c r="G259" s="26" t="n"/>
      <c r="H259" s="32">
        <f>IF(A259="","","FY"&amp;(YEAR(A259)+IF(MONTH(A259)&gt;=7,1,0)))</f>
        <v/>
      </c>
      <c r="I259" s="26" t="n"/>
    </row>
    <row r="260">
      <c r="A260" s="25" t="n"/>
      <c r="B260" s="26" t="n"/>
      <c r="C260" s="28" t="n"/>
      <c r="D260" s="31" t="n"/>
      <c r="E260" s="29">
        <f>IF(C260="","",C260*N(D260)*30/70)</f>
        <v/>
      </c>
      <c r="F260" s="26" t="n"/>
      <c r="G260" s="26" t="n"/>
      <c r="H260" s="32">
        <f>IF(A260="","","FY"&amp;(YEAR(A260)+IF(MONTH(A260)&gt;=7,1,0)))</f>
        <v/>
      </c>
      <c r="I260" s="26" t="n"/>
    </row>
    <row r="261">
      <c r="A261" s="25" t="n"/>
      <c r="B261" s="26" t="n"/>
      <c r="C261" s="28" t="n"/>
      <c r="D261" s="31" t="n"/>
      <c r="E261" s="29">
        <f>IF(C261="","",C261*N(D261)*30/70)</f>
        <v/>
      </c>
      <c r="F261" s="26" t="n"/>
      <c r="G261" s="26" t="n"/>
      <c r="H261" s="32">
        <f>IF(A261="","","FY"&amp;(YEAR(A261)+IF(MONTH(A261)&gt;=7,1,0)))</f>
        <v/>
      </c>
      <c r="I261" s="26" t="n"/>
    </row>
    <row r="262">
      <c r="A262" s="25" t="n"/>
      <c r="B262" s="26" t="n"/>
      <c r="C262" s="28" t="n"/>
      <c r="D262" s="31" t="n"/>
      <c r="E262" s="29">
        <f>IF(C262="","",C262*N(D262)*30/70)</f>
        <v/>
      </c>
      <c r="F262" s="26" t="n"/>
      <c r="G262" s="26" t="n"/>
      <c r="H262" s="32">
        <f>IF(A262="","","FY"&amp;(YEAR(A262)+IF(MONTH(A262)&gt;=7,1,0)))</f>
        <v/>
      </c>
      <c r="I262" s="26" t="n"/>
    </row>
    <row r="263">
      <c r="A263" s="25" t="n"/>
      <c r="B263" s="26" t="n"/>
      <c r="C263" s="28" t="n"/>
      <c r="D263" s="31" t="n"/>
      <c r="E263" s="29">
        <f>IF(C263="","",C263*N(D263)*30/70)</f>
        <v/>
      </c>
      <c r="F263" s="26" t="n"/>
      <c r="G263" s="26" t="n"/>
      <c r="H263" s="32">
        <f>IF(A263="","","FY"&amp;(YEAR(A263)+IF(MONTH(A263)&gt;=7,1,0)))</f>
        <v/>
      </c>
      <c r="I263" s="26" t="n"/>
    </row>
    <row r="264">
      <c r="A264" s="25" t="n"/>
      <c r="B264" s="26" t="n"/>
      <c r="C264" s="28" t="n"/>
      <c r="D264" s="31" t="n"/>
      <c r="E264" s="29">
        <f>IF(C264="","",C264*N(D264)*30/70)</f>
        <v/>
      </c>
      <c r="F264" s="26" t="n"/>
      <c r="G264" s="26" t="n"/>
      <c r="H264" s="32">
        <f>IF(A264="","","FY"&amp;(YEAR(A264)+IF(MONTH(A264)&gt;=7,1,0)))</f>
        <v/>
      </c>
      <c r="I264" s="26" t="n"/>
    </row>
    <row r="265">
      <c r="A265" s="25" t="n"/>
      <c r="B265" s="26" t="n"/>
      <c r="C265" s="28" t="n"/>
      <c r="D265" s="31" t="n"/>
      <c r="E265" s="29">
        <f>IF(C265="","",C265*N(D265)*30/70)</f>
        <v/>
      </c>
      <c r="F265" s="26" t="n"/>
      <c r="G265" s="26" t="n"/>
      <c r="H265" s="32">
        <f>IF(A265="","","FY"&amp;(YEAR(A265)+IF(MONTH(A265)&gt;=7,1,0)))</f>
        <v/>
      </c>
      <c r="I265" s="26" t="n"/>
    </row>
    <row r="266">
      <c r="A266" s="25" t="n"/>
      <c r="B266" s="26" t="n"/>
      <c r="C266" s="28" t="n"/>
      <c r="D266" s="31" t="n"/>
      <c r="E266" s="29">
        <f>IF(C266="","",C266*N(D266)*30/70)</f>
        <v/>
      </c>
      <c r="F266" s="26" t="n"/>
      <c r="G266" s="26" t="n"/>
      <c r="H266" s="32">
        <f>IF(A266="","","FY"&amp;(YEAR(A266)+IF(MONTH(A266)&gt;=7,1,0)))</f>
        <v/>
      </c>
      <c r="I266" s="26" t="n"/>
    </row>
    <row r="267">
      <c r="A267" s="25" t="n"/>
      <c r="B267" s="26" t="n"/>
      <c r="C267" s="28" t="n"/>
      <c r="D267" s="31" t="n"/>
      <c r="E267" s="29">
        <f>IF(C267="","",C267*N(D267)*30/70)</f>
        <v/>
      </c>
      <c r="F267" s="26" t="n"/>
      <c r="G267" s="26" t="n"/>
      <c r="H267" s="32">
        <f>IF(A267="","","FY"&amp;(YEAR(A267)+IF(MONTH(A267)&gt;=7,1,0)))</f>
        <v/>
      </c>
      <c r="I267" s="26" t="n"/>
    </row>
    <row r="268">
      <c r="A268" s="25" t="n"/>
      <c r="B268" s="26" t="n"/>
      <c r="C268" s="28" t="n"/>
      <c r="D268" s="31" t="n"/>
      <c r="E268" s="29">
        <f>IF(C268="","",C268*N(D268)*30/70)</f>
        <v/>
      </c>
      <c r="F268" s="26" t="n"/>
      <c r="G268" s="26" t="n"/>
      <c r="H268" s="32">
        <f>IF(A268="","","FY"&amp;(YEAR(A268)+IF(MONTH(A268)&gt;=7,1,0)))</f>
        <v/>
      </c>
      <c r="I268" s="26" t="n"/>
    </row>
    <row r="269">
      <c r="A269" s="25" t="n"/>
      <c r="B269" s="26" t="n"/>
      <c r="C269" s="28" t="n"/>
      <c r="D269" s="31" t="n"/>
      <c r="E269" s="29">
        <f>IF(C269="","",C269*N(D269)*30/70)</f>
        <v/>
      </c>
      <c r="F269" s="26" t="n"/>
      <c r="G269" s="26" t="n"/>
      <c r="H269" s="32">
        <f>IF(A269="","","FY"&amp;(YEAR(A269)+IF(MONTH(A269)&gt;=7,1,0)))</f>
        <v/>
      </c>
      <c r="I269" s="26" t="n"/>
    </row>
    <row r="270">
      <c r="A270" s="25" t="n"/>
      <c r="B270" s="26" t="n"/>
      <c r="C270" s="28" t="n"/>
      <c r="D270" s="31" t="n"/>
      <c r="E270" s="29">
        <f>IF(C270="","",C270*N(D270)*30/70)</f>
        <v/>
      </c>
      <c r="F270" s="26" t="n"/>
      <c r="G270" s="26" t="n"/>
      <c r="H270" s="32">
        <f>IF(A270="","","FY"&amp;(YEAR(A270)+IF(MONTH(A270)&gt;=7,1,0)))</f>
        <v/>
      </c>
      <c r="I270" s="26" t="n"/>
    </row>
    <row r="271">
      <c r="A271" s="25" t="n"/>
      <c r="B271" s="26" t="n"/>
      <c r="C271" s="28" t="n"/>
      <c r="D271" s="31" t="n"/>
      <c r="E271" s="29">
        <f>IF(C271="","",C271*N(D271)*30/70)</f>
        <v/>
      </c>
      <c r="F271" s="26" t="n"/>
      <c r="G271" s="26" t="n"/>
      <c r="H271" s="32">
        <f>IF(A271="","","FY"&amp;(YEAR(A271)+IF(MONTH(A271)&gt;=7,1,0)))</f>
        <v/>
      </c>
      <c r="I271" s="26" t="n"/>
    </row>
    <row r="272">
      <c r="A272" s="25" t="n"/>
      <c r="B272" s="26" t="n"/>
      <c r="C272" s="28" t="n"/>
      <c r="D272" s="31" t="n"/>
      <c r="E272" s="29">
        <f>IF(C272="","",C272*N(D272)*30/70)</f>
        <v/>
      </c>
      <c r="F272" s="26" t="n"/>
      <c r="G272" s="26" t="n"/>
      <c r="H272" s="32">
        <f>IF(A272="","","FY"&amp;(YEAR(A272)+IF(MONTH(A272)&gt;=7,1,0)))</f>
        <v/>
      </c>
      <c r="I272" s="26" t="n"/>
    </row>
    <row r="273">
      <c r="A273" s="25" t="n"/>
      <c r="B273" s="26" t="n"/>
      <c r="C273" s="28" t="n"/>
      <c r="D273" s="31" t="n"/>
      <c r="E273" s="29">
        <f>IF(C273="","",C273*N(D273)*30/70)</f>
        <v/>
      </c>
      <c r="F273" s="26" t="n"/>
      <c r="G273" s="26" t="n"/>
      <c r="H273" s="32">
        <f>IF(A273="","","FY"&amp;(YEAR(A273)+IF(MONTH(A273)&gt;=7,1,0)))</f>
        <v/>
      </c>
      <c r="I273" s="26" t="n"/>
    </row>
    <row r="274">
      <c r="A274" s="25" t="n"/>
      <c r="B274" s="26" t="n"/>
      <c r="C274" s="28" t="n"/>
      <c r="D274" s="31" t="n"/>
      <c r="E274" s="29">
        <f>IF(C274="","",C274*N(D274)*30/70)</f>
        <v/>
      </c>
      <c r="F274" s="26" t="n"/>
      <c r="G274" s="26" t="n"/>
      <c r="H274" s="32">
        <f>IF(A274="","","FY"&amp;(YEAR(A274)+IF(MONTH(A274)&gt;=7,1,0)))</f>
        <v/>
      </c>
      <c r="I274" s="26" t="n"/>
    </row>
    <row r="275">
      <c r="A275" s="25" t="n"/>
      <c r="B275" s="26" t="n"/>
      <c r="C275" s="28" t="n"/>
      <c r="D275" s="31" t="n"/>
      <c r="E275" s="29">
        <f>IF(C275="","",C275*N(D275)*30/70)</f>
        <v/>
      </c>
      <c r="F275" s="26" t="n"/>
      <c r="G275" s="26" t="n"/>
      <c r="H275" s="32">
        <f>IF(A275="","","FY"&amp;(YEAR(A275)+IF(MONTH(A275)&gt;=7,1,0)))</f>
        <v/>
      </c>
      <c r="I275" s="26" t="n"/>
    </row>
    <row r="276">
      <c r="A276" s="25" t="n"/>
      <c r="B276" s="26" t="n"/>
      <c r="C276" s="28" t="n"/>
      <c r="D276" s="31" t="n"/>
      <c r="E276" s="29">
        <f>IF(C276="","",C276*N(D276)*30/70)</f>
        <v/>
      </c>
      <c r="F276" s="26" t="n"/>
      <c r="G276" s="26" t="n"/>
      <c r="H276" s="32">
        <f>IF(A276="","","FY"&amp;(YEAR(A276)+IF(MONTH(A276)&gt;=7,1,0)))</f>
        <v/>
      </c>
      <c r="I276" s="26" t="n"/>
    </row>
    <row r="277">
      <c r="A277" s="25" t="n"/>
      <c r="B277" s="26" t="n"/>
      <c r="C277" s="28" t="n"/>
      <c r="D277" s="31" t="n"/>
      <c r="E277" s="29">
        <f>IF(C277="","",C277*N(D277)*30/70)</f>
        <v/>
      </c>
      <c r="F277" s="26" t="n"/>
      <c r="G277" s="26" t="n"/>
      <c r="H277" s="32">
        <f>IF(A277="","","FY"&amp;(YEAR(A277)+IF(MONTH(A277)&gt;=7,1,0)))</f>
        <v/>
      </c>
      <c r="I277" s="26" t="n"/>
    </row>
    <row r="278">
      <c r="A278" s="25" t="n"/>
      <c r="B278" s="26" t="n"/>
      <c r="C278" s="28" t="n"/>
      <c r="D278" s="31" t="n"/>
      <c r="E278" s="29">
        <f>IF(C278="","",C278*N(D278)*30/70)</f>
        <v/>
      </c>
      <c r="F278" s="26" t="n"/>
      <c r="G278" s="26" t="n"/>
      <c r="H278" s="32">
        <f>IF(A278="","","FY"&amp;(YEAR(A278)+IF(MONTH(A278)&gt;=7,1,0)))</f>
        <v/>
      </c>
      <c r="I278" s="26" t="n"/>
    </row>
    <row r="279">
      <c r="A279" s="25" t="n"/>
      <c r="B279" s="26" t="n"/>
      <c r="C279" s="28" t="n"/>
      <c r="D279" s="31" t="n"/>
      <c r="E279" s="29">
        <f>IF(C279="","",C279*N(D279)*30/70)</f>
        <v/>
      </c>
      <c r="F279" s="26" t="n"/>
      <c r="G279" s="26" t="n"/>
      <c r="H279" s="32">
        <f>IF(A279="","","FY"&amp;(YEAR(A279)+IF(MONTH(A279)&gt;=7,1,0)))</f>
        <v/>
      </c>
      <c r="I279" s="26" t="n"/>
    </row>
    <row r="280">
      <c r="A280" s="25" t="n"/>
      <c r="B280" s="26" t="n"/>
      <c r="C280" s="28" t="n"/>
      <c r="D280" s="31" t="n"/>
      <c r="E280" s="29">
        <f>IF(C280="","",C280*N(D280)*30/70)</f>
        <v/>
      </c>
      <c r="F280" s="26" t="n"/>
      <c r="G280" s="26" t="n"/>
      <c r="H280" s="32">
        <f>IF(A280="","","FY"&amp;(YEAR(A280)+IF(MONTH(A280)&gt;=7,1,0)))</f>
        <v/>
      </c>
      <c r="I280" s="26" t="n"/>
    </row>
    <row r="281">
      <c r="A281" s="25" t="n"/>
      <c r="B281" s="26" t="n"/>
      <c r="C281" s="28" t="n"/>
      <c r="D281" s="31" t="n"/>
      <c r="E281" s="29">
        <f>IF(C281="","",C281*N(D281)*30/70)</f>
        <v/>
      </c>
      <c r="F281" s="26" t="n"/>
      <c r="G281" s="26" t="n"/>
      <c r="H281" s="32">
        <f>IF(A281="","","FY"&amp;(YEAR(A281)+IF(MONTH(A281)&gt;=7,1,0)))</f>
        <v/>
      </c>
      <c r="I281" s="26" t="n"/>
    </row>
    <row r="282">
      <c r="A282" s="25" t="n"/>
      <c r="B282" s="26" t="n"/>
      <c r="C282" s="28" t="n"/>
      <c r="D282" s="31" t="n"/>
      <c r="E282" s="29">
        <f>IF(C282="","",C282*N(D282)*30/70)</f>
        <v/>
      </c>
      <c r="F282" s="26" t="n"/>
      <c r="G282" s="26" t="n"/>
      <c r="H282" s="32">
        <f>IF(A282="","","FY"&amp;(YEAR(A282)+IF(MONTH(A282)&gt;=7,1,0)))</f>
        <v/>
      </c>
      <c r="I282" s="26" t="n"/>
    </row>
    <row r="283">
      <c r="A283" s="25" t="n"/>
      <c r="B283" s="26" t="n"/>
      <c r="C283" s="28" t="n"/>
      <c r="D283" s="31" t="n"/>
      <c r="E283" s="29">
        <f>IF(C283="","",C283*N(D283)*30/70)</f>
        <v/>
      </c>
      <c r="F283" s="26" t="n"/>
      <c r="G283" s="26" t="n"/>
      <c r="H283" s="32">
        <f>IF(A283="","","FY"&amp;(YEAR(A283)+IF(MONTH(A283)&gt;=7,1,0)))</f>
        <v/>
      </c>
      <c r="I283" s="26" t="n"/>
    </row>
    <row r="284">
      <c r="A284" s="25" t="n"/>
      <c r="B284" s="26" t="n"/>
      <c r="C284" s="28" t="n"/>
      <c r="D284" s="31" t="n"/>
      <c r="E284" s="29">
        <f>IF(C284="","",C284*N(D284)*30/70)</f>
        <v/>
      </c>
      <c r="F284" s="26" t="n"/>
      <c r="G284" s="26" t="n"/>
      <c r="H284" s="32">
        <f>IF(A284="","","FY"&amp;(YEAR(A284)+IF(MONTH(A284)&gt;=7,1,0)))</f>
        <v/>
      </c>
      <c r="I284" s="26" t="n"/>
    </row>
    <row r="285">
      <c r="A285" s="25" t="n"/>
      <c r="B285" s="26" t="n"/>
      <c r="C285" s="28" t="n"/>
      <c r="D285" s="31" t="n"/>
      <c r="E285" s="29">
        <f>IF(C285="","",C285*N(D285)*30/70)</f>
        <v/>
      </c>
      <c r="F285" s="26" t="n"/>
      <c r="G285" s="26" t="n"/>
      <c r="H285" s="32">
        <f>IF(A285="","","FY"&amp;(YEAR(A285)+IF(MONTH(A285)&gt;=7,1,0)))</f>
        <v/>
      </c>
      <c r="I285" s="26" t="n"/>
    </row>
    <row r="286">
      <c r="A286" s="25" t="n"/>
      <c r="B286" s="26" t="n"/>
      <c r="C286" s="28" t="n"/>
      <c r="D286" s="31" t="n"/>
      <c r="E286" s="29">
        <f>IF(C286="","",C286*N(D286)*30/70)</f>
        <v/>
      </c>
      <c r="F286" s="26" t="n"/>
      <c r="G286" s="26" t="n"/>
      <c r="H286" s="32">
        <f>IF(A286="","","FY"&amp;(YEAR(A286)+IF(MONTH(A286)&gt;=7,1,0)))</f>
        <v/>
      </c>
      <c r="I286" s="26" t="n"/>
    </row>
    <row r="287">
      <c r="A287" s="25" t="n"/>
      <c r="B287" s="26" t="n"/>
      <c r="C287" s="28" t="n"/>
      <c r="D287" s="31" t="n"/>
      <c r="E287" s="29">
        <f>IF(C287="","",C287*N(D287)*30/70)</f>
        <v/>
      </c>
      <c r="F287" s="26" t="n"/>
      <c r="G287" s="26" t="n"/>
      <c r="H287" s="32">
        <f>IF(A287="","","FY"&amp;(YEAR(A287)+IF(MONTH(A287)&gt;=7,1,0)))</f>
        <v/>
      </c>
      <c r="I287" s="26" t="n"/>
    </row>
    <row r="288">
      <c r="A288" s="25" t="n"/>
      <c r="B288" s="26" t="n"/>
      <c r="C288" s="28" t="n"/>
      <c r="D288" s="31" t="n"/>
      <c r="E288" s="29">
        <f>IF(C288="","",C288*N(D288)*30/70)</f>
        <v/>
      </c>
      <c r="F288" s="26" t="n"/>
      <c r="G288" s="26" t="n"/>
      <c r="H288" s="32">
        <f>IF(A288="","","FY"&amp;(YEAR(A288)+IF(MONTH(A288)&gt;=7,1,0)))</f>
        <v/>
      </c>
      <c r="I288" s="26" t="n"/>
    </row>
    <row r="289">
      <c r="A289" s="25" t="n"/>
      <c r="B289" s="26" t="n"/>
      <c r="C289" s="28" t="n"/>
      <c r="D289" s="31" t="n"/>
      <c r="E289" s="29">
        <f>IF(C289="","",C289*N(D289)*30/70)</f>
        <v/>
      </c>
      <c r="F289" s="26" t="n"/>
      <c r="G289" s="26" t="n"/>
      <c r="H289" s="32">
        <f>IF(A289="","","FY"&amp;(YEAR(A289)+IF(MONTH(A289)&gt;=7,1,0)))</f>
        <v/>
      </c>
      <c r="I289" s="26" t="n"/>
    </row>
    <row r="290">
      <c r="A290" s="25" t="n"/>
      <c r="B290" s="26" t="n"/>
      <c r="C290" s="28" t="n"/>
      <c r="D290" s="31" t="n"/>
      <c r="E290" s="29">
        <f>IF(C290="","",C290*N(D290)*30/70)</f>
        <v/>
      </c>
      <c r="F290" s="26" t="n"/>
      <c r="G290" s="26" t="n"/>
      <c r="H290" s="32">
        <f>IF(A290="","","FY"&amp;(YEAR(A290)+IF(MONTH(A290)&gt;=7,1,0)))</f>
        <v/>
      </c>
      <c r="I290" s="26" t="n"/>
    </row>
    <row r="291">
      <c r="A291" s="25" t="n"/>
      <c r="B291" s="26" t="n"/>
      <c r="C291" s="28" t="n"/>
      <c r="D291" s="31" t="n"/>
      <c r="E291" s="29">
        <f>IF(C291="","",C291*N(D291)*30/70)</f>
        <v/>
      </c>
      <c r="F291" s="26" t="n"/>
      <c r="G291" s="26" t="n"/>
      <c r="H291" s="32">
        <f>IF(A291="","","FY"&amp;(YEAR(A291)+IF(MONTH(A291)&gt;=7,1,0)))</f>
        <v/>
      </c>
      <c r="I291" s="26" t="n"/>
    </row>
    <row r="292">
      <c r="A292" s="25" t="n"/>
      <c r="B292" s="26" t="n"/>
      <c r="C292" s="28" t="n"/>
      <c r="D292" s="31" t="n"/>
      <c r="E292" s="29">
        <f>IF(C292="","",C292*N(D292)*30/70)</f>
        <v/>
      </c>
      <c r="F292" s="26" t="n"/>
      <c r="G292" s="26" t="n"/>
      <c r="H292" s="32">
        <f>IF(A292="","","FY"&amp;(YEAR(A292)+IF(MONTH(A292)&gt;=7,1,0)))</f>
        <v/>
      </c>
      <c r="I292" s="26" t="n"/>
    </row>
    <row r="293">
      <c r="A293" s="25" t="n"/>
      <c r="B293" s="26" t="n"/>
      <c r="C293" s="28" t="n"/>
      <c r="D293" s="31" t="n"/>
      <c r="E293" s="29">
        <f>IF(C293="","",C293*N(D293)*30/70)</f>
        <v/>
      </c>
      <c r="F293" s="26" t="n"/>
      <c r="G293" s="26" t="n"/>
      <c r="H293" s="32">
        <f>IF(A293="","","FY"&amp;(YEAR(A293)+IF(MONTH(A293)&gt;=7,1,0)))</f>
        <v/>
      </c>
      <c r="I293" s="26" t="n"/>
    </row>
    <row r="294">
      <c r="A294" s="25" t="n"/>
      <c r="B294" s="26" t="n"/>
      <c r="C294" s="28" t="n"/>
      <c r="D294" s="31" t="n"/>
      <c r="E294" s="29">
        <f>IF(C294="","",C294*N(D294)*30/70)</f>
        <v/>
      </c>
      <c r="F294" s="26" t="n"/>
      <c r="G294" s="26" t="n"/>
      <c r="H294" s="32">
        <f>IF(A294="","","FY"&amp;(YEAR(A294)+IF(MONTH(A294)&gt;=7,1,0)))</f>
        <v/>
      </c>
      <c r="I294" s="26" t="n"/>
    </row>
    <row r="295">
      <c r="A295" s="25" t="n"/>
      <c r="B295" s="26" t="n"/>
      <c r="C295" s="28" t="n"/>
      <c r="D295" s="31" t="n"/>
      <c r="E295" s="29">
        <f>IF(C295="","",C295*N(D295)*30/70)</f>
        <v/>
      </c>
      <c r="F295" s="26" t="n"/>
      <c r="G295" s="26" t="n"/>
      <c r="H295" s="32">
        <f>IF(A295="","","FY"&amp;(YEAR(A295)+IF(MONTH(A295)&gt;=7,1,0)))</f>
        <v/>
      </c>
      <c r="I295" s="26" t="n"/>
    </row>
    <row r="296">
      <c r="A296" s="25" t="n"/>
      <c r="B296" s="26" t="n"/>
      <c r="C296" s="28" t="n"/>
      <c r="D296" s="31" t="n"/>
      <c r="E296" s="29">
        <f>IF(C296="","",C296*N(D296)*30/70)</f>
        <v/>
      </c>
      <c r="F296" s="26" t="n"/>
      <c r="G296" s="26" t="n"/>
      <c r="H296" s="32">
        <f>IF(A296="","","FY"&amp;(YEAR(A296)+IF(MONTH(A296)&gt;=7,1,0)))</f>
        <v/>
      </c>
      <c r="I296" s="26" t="n"/>
    </row>
    <row r="297">
      <c r="A297" s="25" t="n"/>
      <c r="B297" s="26" t="n"/>
      <c r="C297" s="28" t="n"/>
      <c r="D297" s="31" t="n"/>
      <c r="E297" s="29">
        <f>IF(C297="","",C297*N(D297)*30/70)</f>
        <v/>
      </c>
      <c r="F297" s="26" t="n"/>
      <c r="G297" s="26" t="n"/>
      <c r="H297" s="32">
        <f>IF(A297="","","FY"&amp;(YEAR(A297)+IF(MONTH(A297)&gt;=7,1,0)))</f>
        <v/>
      </c>
      <c r="I297" s="26" t="n"/>
    </row>
    <row r="298">
      <c r="A298" s="25" t="n"/>
      <c r="B298" s="26" t="n"/>
      <c r="C298" s="28" t="n"/>
      <c r="D298" s="31" t="n"/>
      <c r="E298" s="29">
        <f>IF(C298="","",C298*N(D298)*30/70)</f>
        <v/>
      </c>
      <c r="F298" s="26" t="n"/>
      <c r="G298" s="26" t="n"/>
      <c r="H298" s="32">
        <f>IF(A298="","","FY"&amp;(YEAR(A298)+IF(MONTH(A298)&gt;=7,1,0)))</f>
        <v/>
      </c>
      <c r="I298" s="26" t="n"/>
    </row>
    <row r="299">
      <c r="A299" s="25" t="n"/>
      <c r="B299" s="26" t="n"/>
      <c r="C299" s="28" t="n"/>
      <c r="D299" s="31" t="n"/>
      <c r="E299" s="29">
        <f>IF(C299="","",C299*N(D299)*30/70)</f>
        <v/>
      </c>
      <c r="F299" s="26" t="n"/>
      <c r="G299" s="26" t="n"/>
      <c r="H299" s="32">
        <f>IF(A299="","","FY"&amp;(YEAR(A299)+IF(MONTH(A299)&gt;=7,1,0)))</f>
        <v/>
      </c>
      <c r="I299" s="26" t="n"/>
    </row>
    <row r="300">
      <c r="A300" s="25" t="n"/>
      <c r="B300" s="26" t="n"/>
      <c r="C300" s="28" t="n"/>
      <c r="D300" s="31" t="n"/>
      <c r="E300" s="29">
        <f>IF(C300="","",C300*N(D300)*30/70)</f>
        <v/>
      </c>
      <c r="F300" s="26" t="n"/>
      <c r="G300" s="26" t="n"/>
      <c r="H300" s="32">
        <f>IF(A300="","","FY"&amp;(YEAR(A300)+IF(MONTH(A300)&gt;=7,1,0)))</f>
        <v/>
      </c>
      <c r="I300" s="26" t="n"/>
    </row>
    <row r="301">
      <c r="A301" s="25" t="n"/>
      <c r="B301" s="26" t="n"/>
      <c r="C301" s="28" t="n"/>
      <c r="D301" s="31" t="n"/>
      <c r="E301" s="29">
        <f>IF(C301="","",C301*N(D301)*30/70)</f>
        <v/>
      </c>
      <c r="F301" s="26" t="n"/>
      <c r="G301" s="26" t="n"/>
      <c r="H301" s="32">
        <f>IF(A301="","","FY"&amp;(YEAR(A301)+IF(MONTH(A301)&gt;=7,1,0)))</f>
        <v/>
      </c>
      <c r="I301" s="26" t="n"/>
    </row>
    <row r="302">
      <c r="A302" s="25" t="n"/>
      <c r="B302" s="26" t="n"/>
      <c r="C302" s="28" t="n"/>
      <c r="D302" s="31" t="n"/>
      <c r="E302" s="29">
        <f>IF(C302="","",C302*N(D302)*30/70)</f>
        <v/>
      </c>
      <c r="F302" s="26" t="n"/>
      <c r="G302" s="26" t="n"/>
      <c r="H302" s="32">
        <f>IF(A302="","","FY"&amp;(YEAR(A302)+IF(MONTH(A302)&gt;=7,1,0)))</f>
        <v/>
      </c>
      <c r="I302" s="26" t="n"/>
    </row>
    <row r="303">
      <c r="A303" s="25" t="n"/>
      <c r="B303" s="26" t="n"/>
      <c r="C303" s="28" t="n"/>
      <c r="D303" s="31" t="n"/>
      <c r="E303" s="29">
        <f>IF(C303="","",C303*N(D303)*30/70)</f>
        <v/>
      </c>
      <c r="F303" s="26" t="n"/>
      <c r="G303" s="26" t="n"/>
      <c r="H303" s="32">
        <f>IF(A303="","","FY"&amp;(YEAR(A303)+IF(MONTH(A303)&gt;=7,1,0)))</f>
        <v/>
      </c>
      <c r="I303" s="26" t="n"/>
    </row>
    <row r="304">
      <c r="A304" s="25" t="n"/>
      <c r="B304" s="26" t="n"/>
      <c r="C304" s="28" t="n"/>
      <c r="D304" s="31" t="n"/>
      <c r="E304" s="29">
        <f>IF(C304="","",C304*N(D304)*30/70)</f>
        <v/>
      </c>
      <c r="F304" s="26" t="n"/>
      <c r="G304" s="26" t="n"/>
      <c r="H304" s="32">
        <f>IF(A304="","","FY"&amp;(YEAR(A304)+IF(MONTH(A304)&gt;=7,1,0)))</f>
        <v/>
      </c>
      <c r="I304" s="26" t="n"/>
    </row>
    <row r="305">
      <c r="A305" s="25" t="n"/>
      <c r="B305" s="26" t="n"/>
      <c r="C305" s="28" t="n"/>
      <c r="D305" s="31" t="n"/>
      <c r="E305" s="29">
        <f>IF(C305="","",C305*N(D305)*30/70)</f>
        <v/>
      </c>
      <c r="F305" s="26" t="n"/>
      <c r="G305" s="26" t="n"/>
      <c r="H305" s="32">
        <f>IF(A305="","","FY"&amp;(YEAR(A305)+IF(MONTH(A305)&gt;=7,1,0)))</f>
        <v/>
      </c>
      <c r="I305" s="26" t="n"/>
    </row>
    <row r="306">
      <c r="A306" s="25" t="n"/>
      <c r="B306" s="26" t="n"/>
      <c r="C306" s="28" t="n"/>
      <c r="D306" s="31" t="n"/>
      <c r="E306" s="29">
        <f>IF(C306="","",C306*N(D306)*30/70)</f>
        <v/>
      </c>
      <c r="F306" s="26" t="n"/>
      <c r="G306" s="26" t="n"/>
      <c r="H306" s="32">
        <f>IF(A306="","","FY"&amp;(YEAR(A306)+IF(MONTH(A306)&gt;=7,1,0)))</f>
        <v/>
      </c>
      <c r="I306" s="26" t="n"/>
    </row>
    <row r="307">
      <c r="A307" s="25" t="n"/>
      <c r="B307" s="26" t="n"/>
      <c r="C307" s="28" t="n"/>
      <c r="D307" s="31" t="n"/>
      <c r="E307" s="29">
        <f>IF(C307="","",C307*N(D307)*30/70)</f>
        <v/>
      </c>
      <c r="F307" s="26" t="n"/>
      <c r="G307" s="26" t="n"/>
      <c r="H307" s="32">
        <f>IF(A307="","","FY"&amp;(YEAR(A307)+IF(MONTH(A307)&gt;=7,1,0)))</f>
        <v/>
      </c>
      <c r="I307" s="26" t="n"/>
    </row>
    <row r="308">
      <c r="A308" s="25" t="n"/>
      <c r="B308" s="26" t="n"/>
      <c r="C308" s="28" t="n"/>
      <c r="D308" s="31" t="n"/>
      <c r="E308" s="29">
        <f>IF(C308="","",C308*N(D308)*30/70)</f>
        <v/>
      </c>
      <c r="F308" s="26" t="n"/>
      <c r="G308" s="26" t="n"/>
      <c r="H308" s="32">
        <f>IF(A308="","","FY"&amp;(YEAR(A308)+IF(MONTH(A308)&gt;=7,1,0)))</f>
        <v/>
      </c>
      <c r="I308" s="26" t="n"/>
    </row>
    <row r="309">
      <c r="A309" s="25" t="n"/>
      <c r="B309" s="26" t="n"/>
      <c r="C309" s="28" t="n"/>
      <c r="D309" s="31" t="n"/>
      <c r="E309" s="29">
        <f>IF(C309="","",C309*N(D309)*30/70)</f>
        <v/>
      </c>
      <c r="F309" s="26" t="n"/>
      <c r="G309" s="26" t="n"/>
      <c r="H309" s="32">
        <f>IF(A309="","","FY"&amp;(YEAR(A309)+IF(MONTH(A309)&gt;=7,1,0)))</f>
        <v/>
      </c>
      <c r="I309" s="26" t="n"/>
    </row>
    <row r="310">
      <c r="A310" s="25" t="n"/>
      <c r="B310" s="26" t="n"/>
      <c r="C310" s="28" t="n"/>
      <c r="D310" s="31" t="n"/>
      <c r="E310" s="29">
        <f>IF(C310="","",C310*N(D310)*30/70)</f>
        <v/>
      </c>
      <c r="F310" s="26" t="n"/>
      <c r="G310" s="26" t="n"/>
      <c r="H310" s="32">
        <f>IF(A310="","","FY"&amp;(YEAR(A310)+IF(MONTH(A310)&gt;=7,1,0)))</f>
        <v/>
      </c>
      <c r="I310" s="26" t="n"/>
    </row>
    <row r="311">
      <c r="A311" s="25" t="n"/>
      <c r="B311" s="26" t="n"/>
      <c r="C311" s="28" t="n"/>
      <c r="D311" s="31" t="n"/>
      <c r="E311" s="29">
        <f>IF(C311="","",C311*N(D311)*30/70)</f>
        <v/>
      </c>
      <c r="F311" s="26" t="n"/>
      <c r="G311" s="26" t="n"/>
      <c r="H311" s="32">
        <f>IF(A311="","","FY"&amp;(YEAR(A311)+IF(MONTH(A311)&gt;=7,1,0)))</f>
        <v/>
      </c>
      <c r="I311" s="26" t="n"/>
    </row>
    <row r="312">
      <c r="A312" s="25" t="n"/>
      <c r="B312" s="26" t="n"/>
      <c r="C312" s="28" t="n"/>
      <c r="D312" s="31" t="n"/>
      <c r="E312" s="29">
        <f>IF(C312="","",C312*N(D312)*30/70)</f>
        <v/>
      </c>
      <c r="F312" s="26" t="n"/>
      <c r="G312" s="26" t="n"/>
      <c r="H312" s="32">
        <f>IF(A312="","","FY"&amp;(YEAR(A312)+IF(MONTH(A312)&gt;=7,1,0)))</f>
        <v/>
      </c>
      <c r="I312" s="26" t="n"/>
    </row>
    <row r="313">
      <c r="A313" s="25" t="n"/>
      <c r="B313" s="26" t="n"/>
      <c r="C313" s="28" t="n"/>
      <c r="D313" s="31" t="n"/>
      <c r="E313" s="29">
        <f>IF(C313="","",C313*N(D313)*30/70)</f>
        <v/>
      </c>
      <c r="F313" s="26" t="n"/>
      <c r="G313" s="26" t="n"/>
      <c r="H313" s="32">
        <f>IF(A313="","","FY"&amp;(YEAR(A313)+IF(MONTH(A313)&gt;=7,1,0)))</f>
        <v/>
      </c>
      <c r="I313" s="26" t="n"/>
    </row>
    <row r="314">
      <c r="A314" s="25" t="n"/>
      <c r="B314" s="26" t="n"/>
      <c r="C314" s="28" t="n"/>
      <c r="D314" s="31" t="n"/>
      <c r="E314" s="29">
        <f>IF(C314="","",C314*N(D314)*30/70)</f>
        <v/>
      </c>
      <c r="F314" s="26" t="n"/>
      <c r="G314" s="26" t="n"/>
      <c r="H314" s="32">
        <f>IF(A314="","","FY"&amp;(YEAR(A314)+IF(MONTH(A314)&gt;=7,1,0)))</f>
        <v/>
      </c>
      <c r="I314" s="26" t="n"/>
    </row>
    <row r="315">
      <c r="A315" s="25" t="n"/>
      <c r="B315" s="26" t="n"/>
      <c r="C315" s="28" t="n"/>
      <c r="D315" s="31" t="n"/>
      <c r="E315" s="29">
        <f>IF(C315="","",C315*N(D315)*30/70)</f>
        <v/>
      </c>
      <c r="F315" s="26" t="n"/>
      <c r="G315" s="26" t="n"/>
      <c r="H315" s="32">
        <f>IF(A315="","","FY"&amp;(YEAR(A315)+IF(MONTH(A315)&gt;=7,1,0)))</f>
        <v/>
      </c>
      <c r="I315" s="26" t="n"/>
    </row>
    <row r="316">
      <c r="A316" s="25" t="n"/>
      <c r="B316" s="26" t="n"/>
      <c r="C316" s="28" t="n"/>
      <c r="D316" s="31" t="n"/>
      <c r="E316" s="29">
        <f>IF(C316="","",C316*N(D316)*30/70)</f>
        <v/>
      </c>
      <c r="F316" s="26" t="n"/>
      <c r="G316" s="26" t="n"/>
      <c r="H316" s="32">
        <f>IF(A316="","","FY"&amp;(YEAR(A316)+IF(MONTH(A316)&gt;=7,1,0)))</f>
        <v/>
      </c>
      <c r="I316" s="26" t="n"/>
    </row>
    <row r="317">
      <c r="A317" s="25" t="n"/>
      <c r="B317" s="26" t="n"/>
      <c r="C317" s="28" t="n"/>
      <c r="D317" s="31" t="n"/>
      <c r="E317" s="29">
        <f>IF(C317="","",C317*N(D317)*30/70)</f>
        <v/>
      </c>
      <c r="F317" s="26" t="n"/>
      <c r="G317" s="26" t="n"/>
      <c r="H317" s="32">
        <f>IF(A317="","","FY"&amp;(YEAR(A317)+IF(MONTH(A317)&gt;=7,1,0)))</f>
        <v/>
      </c>
      <c r="I317" s="26" t="n"/>
    </row>
    <row r="318">
      <c r="A318" s="25" t="n"/>
      <c r="B318" s="26" t="n"/>
      <c r="C318" s="28" t="n"/>
      <c r="D318" s="31" t="n"/>
      <c r="E318" s="29">
        <f>IF(C318="","",C318*N(D318)*30/70)</f>
        <v/>
      </c>
      <c r="F318" s="26" t="n"/>
      <c r="G318" s="26" t="n"/>
      <c r="H318" s="32">
        <f>IF(A318="","","FY"&amp;(YEAR(A318)+IF(MONTH(A318)&gt;=7,1,0)))</f>
        <v/>
      </c>
      <c r="I318" s="26" t="n"/>
    </row>
    <row r="319">
      <c r="A319" s="25" t="n"/>
      <c r="B319" s="26" t="n"/>
      <c r="C319" s="28" t="n"/>
      <c r="D319" s="31" t="n"/>
      <c r="E319" s="29">
        <f>IF(C319="","",C319*N(D319)*30/70)</f>
        <v/>
      </c>
      <c r="F319" s="26" t="n"/>
      <c r="G319" s="26" t="n"/>
      <c r="H319" s="32">
        <f>IF(A319="","","FY"&amp;(YEAR(A319)+IF(MONTH(A319)&gt;=7,1,0)))</f>
        <v/>
      </c>
      <c r="I319" s="26" t="n"/>
    </row>
    <row r="320">
      <c r="A320" s="25" t="n"/>
      <c r="B320" s="26" t="n"/>
      <c r="C320" s="28" t="n"/>
      <c r="D320" s="31" t="n"/>
      <c r="E320" s="29">
        <f>IF(C320="","",C320*N(D320)*30/70)</f>
        <v/>
      </c>
      <c r="F320" s="26" t="n"/>
      <c r="G320" s="26" t="n"/>
      <c r="H320" s="32">
        <f>IF(A320="","","FY"&amp;(YEAR(A320)+IF(MONTH(A320)&gt;=7,1,0)))</f>
        <v/>
      </c>
      <c r="I320" s="26" t="n"/>
    </row>
    <row r="321">
      <c r="A321" s="25" t="n"/>
      <c r="B321" s="26" t="n"/>
      <c r="C321" s="28" t="n"/>
      <c r="D321" s="31" t="n"/>
      <c r="E321" s="29">
        <f>IF(C321="","",C321*N(D321)*30/70)</f>
        <v/>
      </c>
      <c r="F321" s="26" t="n"/>
      <c r="G321" s="26" t="n"/>
      <c r="H321" s="32">
        <f>IF(A321="","","FY"&amp;(YEAR(A321)+IF(MONTH(A321)&gt;=7,1,0)))</f>
        <v/>
      </c>
      <c r="I321" s="26" t="n"/>
    </row>
    <row r="322">
      <c r="A322" s="25" t="n"/>
      <c r="B322" s="26" t="n"/>
      <c r="C322" s="28" t="n"/>
      <c r="D322" s="31" t="n"/>
      <c r="E322" s="29">
        <f>IF(C322="","",C322*N(D322)*30/70)</f>
        <v/>
      </c>
      <c r="F322" s="26" t="n"/>
      <c r="G322" s="26" t="n"/>
      <c r="H322" s="32">
        <f>IF(A322="","","FY"&amp;(YEAR(A322)+IF(MONTH(A322)&gt;=7,1,0)))</f>
        <v/>
      </c>
      <c r="I322" s="26" t="n"/>
    </row>
    <row r="323">
      <c r="A323" s="25" t="n"/>
      <c r="B323" s="26" t="n"/>
      <c r="C323" s="28" t="n"/>
      <c r="D323" s="31" t="n"/>
      <c r="E323" s="29">
        <f>IF(C323="","",C323*N(D323)*30/70)</f>
        <v/>
      </c>
      <c r="F323" s="26" t="n"/>
      <c r="G323" s="26" t="n"/>
      <c r="H323" s="32">
        <f>IF(A323="","","FY"&amp;(YEAR(A323)+IF(MONTH(A323)&gt;=7,1,0)))</f>
        <v/>
      </c>
      <c r="I323" s="26" t="n"/>
    </row>
    <row r="324">
      <c r="A324" s="25" t="n"/>
      <c r="B324" s="26" t="n"/>
      <c r="C324" s="28" t="n"/>
      <c r="D324" s="31" t="n"/>
      <c r="E324" s="29">
        <f>IF(C324="","",C324*N(D324)*30/70)</f>
        <v/>
      </c>
      <c r="F324" s="26" t="n"/>
      <c r="G324" s="26" t="n"/>
      <c r="H324" s="32">
        <f>IF(A324="","","FY"&amp;(YEAR(A324)+IF(MONTH(A324)&gt;=7,1,0)))</f>
        <v/>
      </c>
      <c r="I324" s="26" t="n"/>
    </row>
    <row r="325">
      <c r="A325" s="25" t="n"/>
      <c r="B325" s="26" t="n"/>
      <c r="C325" s="28" t="n"/>
      <c r="D325" s="31" t="n"/>
      <c r="E325" s="29">
        <f>IF(C325="","",C325*N(D325)*30/70)</f>
        <v/>
      </c>
      <c r="F325" s="26" t="n"/>
      <c r="G325" s="26" t="n"/>
      <c r="H325" s="32">
        <f>IF(A325="","","FY"&amp;(YEAR(A325)+IF(MONTH(A325)&gt;=7,1,0)))</f>
        <v/>
      </c>
      <c r="I325" s="26" t="n"/>
    </row>
    <row r="326">
      <c r="A326" s="25" t="n"/>
      <c r="B326" s="26" t="n"/>
      <c r="C326" s="28" t="n"/>
      <c r="D326" s="31" t="n"/>
      <c r="E326" s="29">
        <f>IF(C326="","",C326*N(D326)*30/70)</f>
        <v/>
      </c>
      <c r="F326" s="26" t="n"/>
      <c r="G326" s="26" t="n"/>
      <c r="H326" s="32">
        <f>IF(A326="","","FY"&amp;(YEAR(A326)+IF(MONTH(A326)&gt;=7,1,0)))</f>
        <v/>
      </c>
      <c r="I326" s="26" t="n"/>
    </row>
    <row r="327">
      <c r="A327" s="25" t="n"/>
      <c r="B327" s="26" t="n"/>
      <c r="C327" s="28" t="n"/>
      <c r="D327" s="31" t="n"/>
      <c r="E327" s="29">
        <f>IF(C327="","",C327*N(D327)*30/70)</f>
        <v/>
      </c>
      <c r="F327" s="26" t="n"/>
      <c r="G327" s="26" t="n"/>
      <c r="H327" s="32">
        <f>IF(A327="","","FY"&amp;(YEAR(A327)+IF(MONTH(A327)&gt;=7,1,0)))</f>
        <v/>
      </c>
      <c r="I327" s="26" t="n"/>
    </row>
    <row r="328">
      <c r="A328" s="25" t="n"/>
      <c r="B328" s="26" t="n"/>
      <c r="C328" s="28" t="n"/>
      <c r="D328" s="31" t="n"/>
      <c r="E328" s="29">
        <f>IF(C328="","",C328*N(D328)*30/70)</f>
        <v/>
      </c>
      <c r="F328" s="26" t="n"/>
      <c r="G328" s="26" t="n"/>
      <c r="H328" s="32">
        <f>IF(A328="","","FY"&amp;(YEAR(A328)+IF(MONTH(A328)&gt;=7,1,0)))</f>
        <v/>
      </c>
      <c r="I328" s="26" t="n"/>
    </row>
    <row r="329">
      <c r="A329" s="25" t="n"/>
      <c r="B329" s="26" t="n"/>
      <c r="C329" s="28" t="n"/>
      <c r="D329" s="31" t="n"/>
      <c r="E329" s="29">
        <f>IF(C329="","",C329*N(D329)*30/70)</f>
        <v/>
      </c>
      <c r="F329" s="26" t="n"/>
      <c r="G329" s="26" t="n"/>
      <c r="H329" s="32">
        <f>IF(A329="","","FY"&amp;(YEAR(A329)+IF(MONTH(A329)&gt;=7,1,0)))</f>
        <v/>
      </c>
      <c r="I329" s="26" t="n"/>
    </row>
    <row r="330">
      <c r="A330" s="25" t="n"/>
      <c r="B330" s="26" t="n"/>
      <c r="C330" s="28" t="n"/>
      <c r="D330" s="31" t="n"/>
      <c r="E330" s="29">
        <f>IF(C330="","",C330*N(D330)*30/70)</f>
        <v/>
      </c>
      <c r="F330" s="26" t="n"/>
      <c r="G330" s="26" t="n"/>
      <c r="H330" s="32">
        <f>IF(A330="","","FY"&amp;(YEAR(A330)+IF(MONTH(A330)&gt;=7,1,0)))</f>
        <v/>
      </c>
      <c r="I330" s="26" t="n"/>
    </row>
    <row r="331">
      <c r="A331" s="25" t="n"/>
      <c r="B331" s="26" t="n"/>
      <c r="C331" s="28" t="n"/>
      <c r="D331" s="31" t="n"/>
      <c r="E331" s="29">
        <f>IF(C331="","",C331*N(D331)*30/70)</f>
        <v/>
      </c>
      <c r="F331" s="26" t="n"/>
      <c r="G331" s="26" t="n"/>
      <c r="H331" s="32">
        <f>IF(A331="","","FY"&amp;(YEAR(A331)+IF(MONTH(A331)&gt;=7,1,0)))</f>
        <v/>
      </c>
      <c r="I331" s="26" t="n"/>
    </row>
    <row r="332">
      <c r="A332" s="25" t="n"/>
      <c r="B332" s="26" t="n"/>
      <c r="C332" s="28" t="n"/>
      <c r="D332" s="31" t="n"/>
      <c r="E332" s="29">
        <f>IF(C332="","",C332*N(D332)*30/70)</f>
        <v/>
      </c>
      <c r="F332" s="26" t="n"/>
      <c r="G332" s="26" t="n"/>
      <c r="H332" s="32">
        <f>IF(A332="","","FY"&amp;(YEAR(A332)+IF(MONTH(A332)&gt;=7,1,0)))</f>
        <v/>
      </c>
      <c r="I332" s="26" t="n"/>
    </row>
    <row r="333">
      <c r="A333" s="25" t="n"/>
      <c r="B333" s="26" t="n"/>
      <c r="C333" s="28" t="n"/>
      <c r="D333" s="31" t="n"/>
      <c r="E333" s="29">
        <f>IF(C333="","",C333*N(D333)*30/70)</f>
        <v/>
      </c>
      <c r="F333" s="26" t="n"/>
      <c r="G333" s="26" t="n"/>
      <c r="H333" s="32">
        <f>IF(A333="","","FY"&amp;(YEAR(A333)+IF(MONTH(A333)&gt;=7,1,0)))</f>
        <v/>
      </c>
      <c r="I333" s="26" t="n"/>
    </row>
    <row r="334">
      <c r="A334" s="25" t="n"/>
      <c r="B334" s="26" t="n"/>
      <c r="C334" s="28" t="n"/>
      <c r="D334" s="31" t="n"/>
      <c r="E334" s="29">
        <f>IF(C334="","",C334*N(D334)*30/70)</f>
        <v/>
      </c>
      <c r="F334" s="26" t="n"/>
      <c r="G334" s="26" t="n"/>
      <c r="H334" s="32">
        <f>IF(A334="","","FY"&amp;(YEAR(A334)+IF(MONTH(A334)&gt;=7,1,0)))</f>
        <v/>
      </c>
      <c r="I334" s="26" t="n"/>
    </row>
    <row r="335">
      <c r="A335" s="25" t="n"/>
      <c r="B335" s="26" t="n"/>
      <c r="C335" s="28" t="n"/>
      <c r="D335" s="31" t="n"/>
      <c r="E335" s="29">
        <f>IF(C335="","",C335*N(D335)*30/70)</f>
        <v/>
      </c>
      <c r="F335" s="26" t="n"/>
      <c r="G335" s="26" t="n"/>
      <c r="H335" s="32">
        <f>IF(A335="","","FY"&amp;(YEAR(A335)+IF(MONTH(A335)&gt;=7,1,0)))</f>
        <v/>
      </c>
      <c r="I335" s="26" t="n"/>
    </row>
    <row r="336">
      <c r="A336" s="25" t="n"/>
      <c r="B336" s="26" t="n"/>
      <c r="C336" s="28" t="n"/>
      <c r="D336" s="31" t="n"/>
      <c r="E336" s="29">
        <f>IF(C336="","",C336*N(D336)*30/70)</f>
        <v/>
      </c>
      <c r="F336" s="26" t="n"/>
      <c r="G336" s="26" t="n"/>
      <c r="H336" s="32">
        <f>IF(A336="","","FY"&amp;(YEAR(A336)+IF(MONTH(A336)&gt;=7,1,0)))</f>
        <v/>
      </c>
      <c r="I336" s="26" t="n"/>
    </row>
    <row r="337">
      <c r="A337" s="25" t="n"/>
      <c r="B337" s="26" t="n"/>
      <c r="C337" s="28" t="n"/>
      <c r="D337" s="31" t="n"/>
      <c r="E337" s="29">
        <f>IF(C337="","",C337*N(D337)*30/70)</f>
        <v/>
      </c>
      <c r="F337" s="26" t="n"/>
      <c r="G337" s="26" t="n"/>
      <c r="H337" s="32">
        <f>IF(A337="","","FY"&amp;(YEAR(A337)+IF(MONTH(A337)&gt;=7,1,0)))</f>
        <v/>
      </c>
      <c r="I337" s="26" t="n"/>
    </row>
    <row r="338">
      <c r="A338" s="25" t="n"/>
      <c r="B338" s="26" t="n"/>
      <c r="C338" s="28" t="n"/>
      <c r="D338" s="31" t="n"/>
      <c r="E338" s="29">
        <f>IF(C338="","",C338*N(D338)*30/70)</f>
        <v/>
      </c>
      <c r="F338" s="26" t="n"/>
      <c r="G338" s="26" t="n"/>
      <c r="H338" s="32">
        <f>IF(A338="","","FY"&amp;(YEAR(A338)+IF(MONTH(A338)&gt;=7,1,0)))</f>
        <v/>
      </c>
      <c r="I338" s="26" t="n"/>
    </row>
    <row r="339">
      <c r="A339" s="25" t="n"/>
      <c r="B339" s="26" t="n"/>
      <c r="C339" s="28" t="n"/>
      <c r="D339" s="31" t="n"/>
      <c r="E339" s="29">
        <f>IF(C339="","",C339*N(D339)*30/70)</f>
        <v/>
      </c>
      <c r="F339" s="26" t="n"/>
      <c r="G339" s="26" t="n"/>
      <c r="H339" s="32">
        <f>IF(A339="","","FY"&amp;(YEAR(A339)+IF(MONTH(A339)&gt;=7,1,0)))</f>
        <v/>
      </c>
      <c r="I339" s="26" t="n"/>
    </row>
    <row r="340">
      <c r="A340" s="25" t="n"/>
      <c r="B340" s="26" t="n"/>
      <c r="C340" s="28" t="n"/>
      <c r="D340" s="31" t="n"/>
      <c r="E340" s="29">
        <f>IF(C340="","",C340*N(D340)*30/70)</f>
        <v/>
      </c>
      <c r="F340" s="26" t="n"/>
      <c r="G340" s="26" t="n"/>
      <c r="H340" s="32">
        <f>IF(A340="","","FY"&amp;(YEAR(A340)+IF(MONTH(A340)&gt;=7,1,0)))</f>
        <v/>
      </c>
      <c r="I340" s="26" t="n"/>
    </row>
    <row r="341">
      <c r="A341" s="25" t="n"/>
      <c r="B341" s="26" t="n"/>
      <c r="C341" s="28" t="n"/>
      <c r="D341" s="31" t="n"/>
      <c r="E341" s="29">
        <f>IF(C341="","",C341*N(D341)*30/70)</f>
        <v/>
      </c>
      <c r="F341" s="26" t="n"/>
      <c r="G341" s="26" t="n"/>
      <c r="H341" s="32">
        <f>IF(A341="","","FY"&amp;(YEAR(A341)+IF(MONTH(A341)&gt;=7,1,0)))</f>
        <v/>
      </c>
      <c r="I341" s="26" t="n"/>
    </row>
    <row r="342">
      <c r="A342" s="25" t="n"/>
      <c r="B342" s="26" t="n"/>
      <c r="C342" s="28" t="n"/>
      <c r="D342" s="31" t="n"/>
      <c r="E342" s="29">
        <f>IF(C342="","",C342*N(D342)*30/70)</f>
        <v/>
      </c>
      <c r="F342" s="26" t="n"/>
      <c r="G342" s="26" t="n"/>
      <c r="H342" s="32">
        <f>IF(A342="","","FY"&amp;(YEAR(A342)+IF(MONTH(A342)&gt;=7,1,0)))</f>
        <v/>
      </c>
      <c r="I342" s="26" t="n"/>
    </row>
    <row r="343">
      <c r="A343" s="25" t="n"/>
      <c r="B343" s="26" t="n"/>
      <c r="C343" s="28" t="n"/>
      <c r="D343" s="31" t="n"/>
      <c r="E343" s="29">
        <f>IF(C343="","",C343*N(D343)*30/70)</f>
        <v/>
      </c>
      <c r="F343" s="26" t="n"/>
      <c r="G343" s="26" t="n"/>
      <c r="H343" s="32">
        <f>IF(A343="","","FY"&amp;(YEAR(A343)+IF(MONTH(A343)&gt;=7,1,0)))</f>
        <v/>
      </c>
      <c r="I343" s="26" t="n"/>
    </row>
    <row r="344">
      <c r="A344" s="25" t="n"/>
      <c r="B344" s="26" t="n"/>
      <c r="C344" s="28" t="n"/>
      <c r="D344" s="31" t="n"/>
      <c r="E344" s="29">
        <f>IF(C344="","",C344*N(D344)*30/70)</f>
        <v/>
      </c>
      <c r="F344" s="26" t="n"/>
      <c r="G344" s="26" t="n"/>
      <c r="H344" s="32">
        <f>IF(A344="","","FY"&amp;(YEAR(A344)+IF(MONTH(A344)&gt;=7,1,0)))</f>
        <v/>
      </c>
      <c r="I344" s="26" t="n"/>
    </row>
    <row r="345">
      <c r="A345" s="25" t="n"/>
      <c r="B345" s="26" t="n"/>
      <c r="C345" s="28" t="n"/>
      <c r="D345" s="31" t="n"/>
      <c r="E345" s="29">
        <f>IF(C345="","",C345*N(D345)*30/70)</f>
        <v/>
      </c>
      <c r="F345" s="26" t="n"/>
      <c r="G345" s="26" t="n"/>
      <c r="H345" s="32">
        <f>IF(A345="","","FY"&amp;(YEAR(A345)+IF(MONTH(A345)&gt;=7,1,0)))</f>
        <v/>
      </c>
      <c r="I345" s="26" t="n"/>
    </row>
    <row r="346">
      <c r="A346" s="25" t="n"/>
      <c r="B346" s="26" t="n"/>
      <c r="C346" s="28" t="n"/>
      <c r="D346" s="31" t="n"/>
      <c r="E346" s="29">
        <f>IF(C346="","",C346*N(D346)*30/70)</f>
        <v/>
      </c>
      <c r="F346" s="26" t="n"/>
      <c r="G346" s="26" t="n"/>
      <c r="H346" s="32">
        <f>IF(A346="","","FY"&amp;(YEAR(A346)+IF(MONTH(A346)&gt;=7,1,0)))</f>
        <v/>
      </c>
      <c r="I346" s="26" t="n"/>
    </row>
    <row r="347">
      <c r="A347" s="25" t="n"/>
      <c r="B347" s="26" t="n"/>
      <c r="C347" s="28" t="n"/>
      <c r="D347" s="31" t="n"/>
      <c r="E347" s="29">
        <f>IF(C347="","",C347*N(D347)*30/70)</f>
        <v/>
      </c>
      <c r="F347" s="26" t="n"/>
      <c r="G347" s="26" t="n"/>
      <c r="H347" s="32">
        <f>IF(A347="","","FY"&amp;(YEAR(A347)+IF(MONTH(A347)&gt;=7,1,0)))</f>
        <v/>
      </c>
      <c r="I347" s="26" t="n"/>
    </row>
    <row r="348">
      <c r="A348" s="25" t="n"/>
      <c r="B348" s="26" t="n"/>
      <c r="C348" s="28" t="n"/>
      <c r="D348" s="31" t="n"/>
      <c r="E348" s="29">
        <f>IF(C348="","",C348*N(D348)*30/70)</f>
        <v/>
      </c>
      <c r="F348" s="26" t="n"/>
      <c r="G348" s="26" t="n"/>
      <c r="H348" s="32">
        <f>IF(A348="","","FY"&amp;(YEAR(A348)+IF(MONTH(A348)&gt;=7,1,0)))</f>
        <v/>
      </c>
      <c r="I348" s="26" t="n"/>
    </row>
    <row r="349">
      <c r="A349" s="25" t="n"/>
      <c r="B349" s="26" t="n"/>
      <c r="C349" s="28" t="n"/>
      <c r="D349" s="31" t="n"/>
      <c r="E349" s="29">
        <f>IF(C349="","",C349*N(D349)*30/70)</f>
        <v/>
      </c>
      <c r="F349" s="26" t="n"/>
      <c r="G349" s="26" t="n"/>
      <c r="H349" s="32">
        <f>IF(A349="","","FY"&amp;(YEAR(A349)+IF(MONTH(A349)&gt;=7,1,0)))</f>
        <v/>
      </c>
      <c r="I349" s="26" t="n"/>
    </row>
    <row r="350">
      <c r="A350" s="25" t="n"/>
      <c r="B350" s="26" t="n"/>
      <c r="C350" s="28" t="n"/>
      <c r="D350" s="31" t="n"/>
      <c r="E350" s="29">
        <f>IF(C350="","",C350*N(D350)*30/70)</f>
        <v/>
      </c>
      <c r="F350" s="26" t="n"/>
      <c r="G350" s="26" t="n"/>
      <c r="H350" s="32">
        <f>IF(A350="","","FY"&amp;(YEAR(A350)+IF(MONTH(A350)&gt;=7,1,0)))</f>
        <v/>
      </c>
      <c r="I350" s="26" t="n"/>
    </row>
    <row r="351">
      <c r="A351" s="25" t="n"/>
      <c r="B351" s="26" t="n"/>
      <c r="C351" s="28" t="n"/>
      <c r="D351" s="31" t="n"/>
      <c r="E351" s="29">
        <f>IF(C351="","",C351*N(D351)*30/70)</f>
        <v/>
      </c>
      <c r="F351" s="26" t="n"/>
      <c r="G351" s="26" t="n"/>
      <c r="H351" s="32">
        <f>IF(A351="","","FY"&amp;(YEAR(A351)+IF(MONTH(A351)&gt;=7,1,0)))</f>
        <v/>
      </c>
      <c r="I351" s="26" t="n"/>
    </row>
    <row r="352">
      <c r="A352" s="25" t="n"/>
      <c r="B352" s="26" t="n"/>
      <c r="C352" s="28" t="n"/>
      <c r="D352" s="31" t="n"/>
      <c r="E352" s="29">
        <f>IF(C352="","",C352*N(D352)*30/70)</f>
        <v/>
      </c>
      <c r="F352" s="26" t="n"/>
      <c r="G352" s="26" t="n"/>
      <c r="H352" s="32">
        <f>IF(A352="","","FY"&amp;(YEAR(A352)+IF(MONTH(A352)&gt;=7,1,0)))</f>
        <v/>
      </c>
      <c r="I352" s="26" t="n"/>
    </row>
    <row r="353">
      <c r="A353" s="25" t="n"/>
      <c r="B353" s="26" t="n"/>
      <c r="C353" s="28" t="n"/>
      <c r="D353" s="31" t="n"/>
      <c r="E353" s="29">
        <f>IF(C353="","",C353*N(D353)*30/70)</f>
        <v/>
      </c>
      <c r="F353" s="26" t="n"/>
      <c r="G353" s="26" t="n"/>
      <c r="H353" s="32">
        <f>IF(A353="","","FY"&amp;(YEAR(A353)+IF(MONTH(A353)&gt;=7,1,0)))</f>
        <v/>
      </c>
      <c r="I353" s="26" t="n"/>
    </row>
    <row r="354">
      <c r="A354" s="25" t="n"/>
      <c r="B354" s="26" t="n"/>
      <c r="C354" s="28" t="n"/>
      <c r="D354" s="31" t="n"/>
      <c r="E354" s="29">
        <f>IF(C354="","",C354*N(D354)*30/70)</f>
        <v/>
      </c>
      <c r="F354" s="26" t="n"/>
      <c r="G354" s="26" t="n"/>
      <c r="H354" s="32">
        <f>IF(A354="","","FY"&amp;(YEAR(A354)+IF(MONTH(A354)&gt;=7,1,0)))</f>
        <v/>
      </c>
      <c r="I354" s="26" t="n"/>
    </row>
    <row r="355">
      <c r="A355" s="25" t="n"/>
      <c r="B355" s="26" t="n"/>
      <c r="C355" s="28" t="n"/>
      <c r="D355" s="31" t="n"/>
      <c r="E355" s="29">
        <f>IF(C355="","",C355*N(D355)*30/70)</f>
        <v/>
      </c>
      <c r="F355" s="26" t="n"/>
      <c r="G355" s="26" t="n"/>
      <c r="H355" s="32">
        <f>IF(A355="","","FY"&amp;(YEAR(A355)+IF(MONTH(A355)&gt;=7,1,0)))</f>
        <v/>
      </c>
      <c r="I355" s="26" t="n"/>
    </row>
    <row r="356">
      <c r="A356" s="25" t="n"/>
      <c r="B356" s="26" t="n"/>
      <c r="C356" s="28" t="n"/>
      <c r="D356" s="31" t="n"/>
      <c r="E356" s="29">
        <f>IF(C356="","",C356*N(D356)*30/70)</f>
        <v/>
      </c>
      <c r="F356" s="26" t="n"/>
      <c r="G356" s="26" t="n"/>
      <c r="H356" s="32">
        <f>IF(A356="","","FY"&amp;(YEAR(A356)+IF(MONTH(A356)&gt;=7,1,0)))</f>
        <v/>
      </c>
      <c r="I356" s="26" t="n"/>
    </row>
    <row r="357">
      <c r="A357" s="25" t="n"/>
      <c r="B357" s="26" t="n"/>
      <c r="C357" s="28" t="n"/>
      <c r="D357" s="31" t="n"/>
      <c r="E357" s="29">
        <f>IF(C357="","",C357*N(D357)*30/70)</f>
        <v/>
      </c>
      <c r="F357" s="26" t="n"/>
      <c r="G357" s="26" t="n"/>
      <c r="H357" s="32">
        <f>IF(A357="","","FY"&amp;(YEAR(A357)+IF(MONTH(A357)&gt;=7,1,0)))</f>
        <v/>
      </c>
      <c r="I357" s="26" t="n"/>
    </row>
    <row r="358">
      <c r="A358" s="25" t="n"/>
      <c r="B358" s="26" t="n"/>
      <c r="C358" s="28" t="n"/>
      <c r="D358" s="31" t="n"/>
      <c r="E358" s="29">
        <f>IF(C358="","",C358*N(D358)*30/70)</f>
        <v/>
      </c>
      <c r="F358" s="26" t="n"/>
      <c r="G358" s="26" t="n"/>
      <c r="H358" s="32">
        <f>IF(A358="","","FY"&amp;(YEAR(A358)+IF(MONTH(A358)&gt;=7,1,0)))</f>
        <v/>
      </c>
      <c r="I358" s="26" t="n"/>
    </row>
    <row r="359">
      <c r="A359" s="25" t="n"/>
      <c r="B359" s="26" t="n"/>
      <c r="C359" s="28" t="n"/>
      <c r="D359" s="31" t="n"/>
      <c r="E359" s="29">
        <f>IF(C359="","",C359*N(D359)*30/70)</f>
        <v/>
      </c>
      <c r="F359" s="26" t="n"/>
      <c r="G359" s="26" t="n"/>
      <c r="H359" s="32">
        <f>IF(A359="","","FY"&amp;(YEAR(A359)+IF(MONTH(A359)&gt;=7,1,0)))</f>
        <v/>
      </c>
      <c r="I359" s="26" t="n"/>
    </row>
    <row r="360">
      <c r="A360" s="25" t="n"/>
      <c r="B360" s="26" t="n"/>
      <c r="C360" s="28" t="n"/>
      <c r="D360" s="31" t="n"/>
      <c r="E360" s="29">
        <f>IF(C360="","",C360*N(D360)*30/70)</f>
        <v/>
      </c>
      <c r="F360" s="26" t="n"/>
      <c r="G360" s="26" t="n"/>
      <c r="H360" s="32">
        <f>IF(A360="","","FY"&amp;(YEAR(A360)+IF(MONTH(A360)&gt;=7,1,0)))</f>
        <v/>
      </c>
      <c r="I360" s="26" t="n"/>
    </row>
    <row r="361">
      <c r="A361" s="25" t="n"/>
      <c r="B361" s="26" t="n"/>
      <c r="C361" s="28" t="n"/>
      <c r="D361" s="31" t="n"/>
      <c r="E361" s="29">
        <f>IF(C361="","",C361*N(D361)*30/70)</f>
        <v/>
      </c>
      <c r="F361" s="26" t="n"/>
      <c r="G361" s="26" t="n"/>
      <c r="H361" s="32">
        <f>IF(A361="","","FY"&amp;(YEAR(A361)+IF(MONTH(A361)&gt;=7,1,0)))</f>
        <v/>
      </c>
      <c r="I361" s="26" t="n"/>
    </row>
    <row r="362">
      <c r="A362" s="25" t="n"/>
      <c r="B362" s="26" t="n"/>
      <c r="C362" s="28" t="n"/>
      <c r="D362" s="31" t="n"/>
      <c r="E362" s="29">
        <f>IF(C362="","",C362*N(D362)*30/70)</f>
        <v/>
      </c>
      <c r="F362" s="26" t="n"/>
      <c r="G362" s="26" t="n"/>
      <c r="H362" s="32">
        <f>IF(A362="","","FY"&amp;(YEAR(A362)+IF(MONTH(A362)&gt;=7,1,0)))</f>
        <v/>
      </c>
      <c r="I362" s="26" t="n"/>
    </row>
    <row r="363">
      <c r="A363" s="25" t="n"/>
      <c r="B363" s="26" t="n"/>
      <c r="C363" s="28" t="n"/>
      <c r="D363" s="31" t="n"/>
      <c r="E363" s="29">
        <f>IF(C363="","",C363*N(D363)*30/70)</f>
        <v/>
      </c>
      <c r="F363" s="26" t="n"/>
      <c r="G363" s="26" t="n"/>
      <c r="H363" s="32">
        <f>IF(A363="","","FY"&amp;(YEAR(A363)+IF(MONTH(A363)&gt;=7,1,0)))</f>
        <v/>
      </c>
      <c r="I363" s="26" t="n"/>
    </row>
    <row r="364">
      <c r="A364" s="25" t="n"/>
      <c r="B364" s="26" t="n"/>
      <c r="C364" s="28" t="n"/>
      <c r="D364" s="31" t="n"/>
      <c r="E364" s="29">
        <f>IF(C364="","",C364*N(D364)*30/70)</f>
        <v/>
      </c>
      <c r="F364" s="26" t="n"/>
      <c r="G364" s="26" t="n"/>
      <c r="H364" s="32">
        <f>IF(A364="","","FY"&amp;(YEAR(A364)+IF(MONTH(A364)&gt;=7,1,0)))</f>
        <v/>
      </c>
      <c r="I364" s="26" t="n"/>
    </row>
    <row r="365">
      <c r="A365" s="25" t="n"/>
      <c r="B365" s="26" t="n"/>
      <c r="C365" s="28" t="n"/>
      <c r="D365" s="31" t="n"/>
      <c r="E365" s="29">
        <f>IF(C365="","",C365*N(D365)*30/70)</f>
        <v/>
      </c>
      <c r="F365" s="26" t="n"/>
      <c r="G365" s="26" t="n"/>
      <c r="H365" s="32">
        <f>IF(A365="","","FY"&amp;(YEAR(A365)+IF(MONTH(A365)&gt;=7,1,0)))</f>
        <v/>
      </c>
      <c r="I365" s="26" t="n"/>
    </row>
    <row r="366">
      <c r="A366" s="25" t="n"/>
      <c r="B366" s="26" t="n"/>
      <c r="C366" s="28" t="n"/>
      <c r="D366" s="31" t="n"/>
      <c r="E366" s="29">
        <f>IF(C366="","",C366*N(D366)*30/70)</f>
        <v/>
      </c>
      <c r="F366" s="26" t="n"/>
      <c r="G366" s="26" t="n"/>
      <c r="H366" s="32">
        <f>IF(A366="","","FY"&amp;(YEAR(A366)+IF(MONTH(A366)&gt;=7,1,0)))</f>
        <v/>
      </c>
      <c r="I366" s="26" t="n"/>
    </row>
    <row r="367">
      <c r="A367" s="25" t="n"/>
      <c r="B367" s="26" t="n"/>
      <c r="C367" s="28" t="n"/>
      <c r="D367" s="31" t="n"/>
      <c r="E367" s="29">
        <f>IF(C367="","",C367*N(D367)*30/70)</f>
        <v/>
      </c>
      <c r="F367" s="26" t="n"/>
      <c r="G367" s="26" t="n"/>
      <c r="H367" s="32">
        <f>IF(A367="","","FY"&amp;(YEAR(A367)+IF(MONTH(A367)&gt;=7,1,0)))</f>
        <v/>
      </c>
      <c r="I367" s="26" t="n"/>
    </row>
    <row r="368">
      <c r="A368" s="25" t="n"/>
      <c r="B368" s="26" t="n"/>
      <c r="C368" s="28" t="n"/>
      <c r="D368" s="31" t="n"/>
      <c r="E368" s="29">
        <f>IF(C368="","",C368*N(D368)*30/70)</f>
        <v/>
      </c>
      <c r="F368" s="26" t="n"/>
      <c r="G368" s="26" t="n"/>
      <c r="H368" s="32">
        <f>IF(A368="","","FY"&amp;(YEAR(A368)+IF(MONTH(A368)&gt;=7,1,0)))</f>
        <v/>
      </c>
      <c r="I368" s="26" t="n"/>
    </row>
    <row r="369">
      <c r="A369" s="25" t="n"/>
      <c r="B369" s="26" t="n"/>
      <c r="C369" s="28" t="n"/>
      <c r="D369" s="31" t="n"/>
      <c r="E369" s="29">
        <f>IF(C369="","",C369*N(D369)*30/70)</f>
        <v/>
      </c>
      <c r="F369" s="26" t="n"/>
      <c r="G369" s="26" t="n"/>
      <c r="H369" s="32">
        <f>IF(A369="","","FY"&amp;(YEAR(A369)+IF(MONTH(A369)&gt;=7,1,0)))</f>
        <v/>
      </c>
      <c r="I369" s="26" t="n"/>
    </row>
    <row r="370">
      <c r="A370" s="25" t="n"/>
      <c r="B370" s="26" t="n"/>
      <c r="C370" s="28" t="n"/>
      <c r="D370" s="31" t="n"/>
      <c r="E370" s="29">
        <f>IF(C370="","",C370*N(D370)*30/70)</f>
        <v/>
      </c>
      <c r="F370" s="26" t="n"/>
      <c r="G370" s="26" t="n"/>
      <c r="H370" s="32">
        <f>IF(A370="","","FY"&amp;(YEAR(A370)+IF(MONTH(A370)&gt;=7,1,0)))</f>
        <v/>
      </c>
      <c r="I370" s="26" t="n"/>
    </row>
    <row r="371">
      <c r="A371" s="25" t="n"/>
      <c r="B371" s="26" t="n"/>
      <c r="C371" s="28" t="n"/>
      <c r="D371" s="31" t="n"/>
      <c r="E371" s="29">
        <f>IF(C371="","",C371*N(D371)*30/70)</f>
        <v/>
      </c>
      <c r="F371" s="26" t="n"/>
      <c r="G371" s="26" t="n"/>
      <c r="H371" s="32">
        <f>IF(A371="","","FY"&amp;(YEAR(A371)+IF(MONTH(A371)&gt;=7,1,0)))</f>
        <v/>
      </c>
      <c r="I371" s="26" t="n"/>
    </row>
    <row r="372">
      <c r="A372" s="25" t="n"/>
      <c r="B372" s="26" t="n"/>
      <c r="C372" s="28" t="n"/>
      <c r="D372" s="31" t="n"/>
      <c r="E372" s="29">
        <f>IF(C372="","",C372*N(D372)*30/70)</f>
        <v/>
      </c>
      <c r="F372" s="26" t="n"/>
      <c r="G372" s="26" t="n"/>
      <c r="H372" s="32">
        <f>IF(A372="","","FY"&amp;(YEAR(A372)+IF(MONTH(A372)&gt;=7,1,0)))</f>
        <v/>
      </c>
      <c r="I372" s="26" t="n"/>
    </row>
    <row r="373">
      <c r="A373" s="25" t="n"/>
      <c r="B373" s="26" t="n"/>
      <c r="C373" s="28" t="n"/>
      <c r="D373" s="31" t="n"/>
      <c r="E373" s="29">
        <f>IF(C373="","",C373*N(D373)*30/70)</f>
        <v/>
      </c>
      <c r="F373" s="26" t="n"/>
      <c r="G373" s="26" t="n"/>
      <c r="H373" s="32">
        <f>IF(A373="","","FY"&amp;(YEAR(A373)+IF(MONTH(A373)&gt;=7,1,0)))</f>
        <v/>
      </c>
      <c r="I373" s="26" t="n"/>
    </row>
    <row r="374">
      <c r="A374" s="25" t="n"/>
      <c r="B374" s="26" t="n"/>
      <c r="C374" s="28" t="n"/>
      <c r="D374" s="31" t="n"/>
      <c r="E374" s="29">
        <f>IF(C374="","",C374*N(D374)*30/70)</f>
        <v/>
      </c>
      <c r="F374" s="26" t="n"/>
      <c r="G374" s="26" t="n"/>
      <c r="H374" s="32">
        <f>IF(A374="","","FY"&amp;(YEAR(A374)+IF(MONTH(A374)&gt;=7,1,0)))</f>
        <v/>
      </c>
      <c r="I374" s="26" t="n"/>
    </row>
    <row r="375">
      <c r="A375" s="25" t="n"/>
      <c r="B375" s="26" t="n"/>
      <c r="C375" s="28" t="n"/>
      <c r="D375" s="31" t="n"/>
      <c r="E375" s="29">
        <f>IF(C375="","",C375*N(D375)*30/70)</f>
        <v/>
      </c>
      <c r="F375" s="26" t="n"/>
      <c r="G375" s="26" t="n"/>
      <c r="H375" s="32">
        <f>IF(A375="","","FY"&amp;(YEAR(A375)+IF(MONTH(A375)&gt;=7,1,0)))</f>
        <v/>
      </c>
      <c r="I375" s="26" t="n"/>
    </row>
    <row r="376">
      <c r="A376" s="25" t="n"/>
      <c r="B376" s="26" t="n"/>
      <c r="C376" s="28" t="n"/>
      <c r="D376" s="31" t="n"/>
      <c r="E376" s="29">
        <f>IF(C376="","",C376*N(D376)*30/70)</f>
        <v/>
      </c>
      <c r="F376" s="26" t="n"/>
      <c r="G376" s="26" t="n"/>
      <c r="H376" s="32">
        <f>IF(A376="","","FY"&amp;(YEAR(A376)+IF(MONTH(A376)&gt;=7,1,0)))</f>
        <v/>
      </c>
      <c r="I376" s="26" t="n"/>
    </row>
    <row r="377">
      <c r="A377" s="25" t="n"/>
      <c r="B377" s="26" t="n"/>
      <c r="C377" s="28" t="n"/>
      <c r="D377" s="31" t="n"/>
      <c r="E377" s="29">
        <f>IF(C377="","",C377*N(D377)*30/70)</f>
        <v/>
      </c>
      <c r="F377" s="26" t="n"/>
      <c r="G377" s="26" t="n"/>
      <c r="H377" s="32">
        <f>IF(A377="","","FY"&amp;(YEAR(A377)+IF(MONTH(A377)&gt;=7,1,0)))</f>
        <v/>
      </c>
      <c r="I377" s="26" t="n"/>
    </row>
    <row r="378">
      <c r="A378" s="25" t="n"/>
      <c r="B378" s="26" t="n"/>
      <c r="C378" s="28" t="n"/>
      <c r="D378" s="31" t="n"/>
      <c r="E378" s="29">
        <f>IF(C378="","",C378*N(D378)*30/70)</f>
        <v/>
      </c>
      <c r="F378" s="26" t="n"/>
      <c r="G378" s="26" t="n"/>
      <c r="H378" s="32">
        <f>IF(A378="","","FY"&amp;(YEAR(A378)+IF(MONTH(A378)&gt;=7,1,0)))</f>
        <v/>
      </c>
      <c r="I378" s="26" t="n"/>
    </row>
    <row r="379">
      <c r="A379" s="25" t="n"/>
      <c r="B379" s="26" t="n"/>
      <c r="C379" s="28" t="n"/>
      <c r="D379" s="31" t="n"/>
      <c r="E379" s="29">
        <f>IF(C379="","",C379*N(D379)*30/70)</f>
        <v/>
      </c>
      <c r="F379" s="26" t="n"/>
      <c r="G379" s="26" t="n"/>
      <c r="H379" s="32">
        <f>IF(A379="","","FY"&amp;(YEAR(A379)+IF(MONTH(A379)&gt;=7,1,0)))</f>
        <v/>
      </c>
      <c r="I379" s="26" t="n"/>
    </row>
    <row r="380">
      <c r="A380" s="25" t="n"/>
      <c r="B380" s="26" t="n"/>
      <c r="C380" s="28" t="n"/>
      <c r="D380" s="31" t="n"/>
      <c r="E380" s="29">
        <f>IF(C380="","",C380*N(D380)*30/70)</f>
        <v/>
      </c>
      <c r="F380" s="26" t="n"/>
      <c r="G380" s="26" t="n"/>
      <c r="H380" s="32">
        <f>IF(A380="","","FY"&amp;(YEAR(A380)+IF(MONTH(A380)&gt;=7,1,0)))</f>
        <v/>
      </c>
      <c r="I380" s="26" t="n"/>
    </row>
    <row r="381">
      <c r="A381" s="25" t="n"/>
      <c r="B381" s="26" t="n"/>
      <c r="C381" s="28" t="n"/>
      <c r="D381" s="31" t="n"/>
      <c r="E381" s="29">
        <f>IF(C381="","",C381*N(D381)*30/70)</f>
        <v/>
      </c>
      <c r="F381" s="26" t="n"/>
      <c r="G381" s="26" t="n"/>
      <c r="H381" s="32">
        <f>IF(A381="","","FY"&amp;(YEAR(A381)+IF(MONTH(A381)&gt;=7,1,0)))</f>
        <v/>
      </c>
      <c r="I381" s="26" t="n"/>
    </row>
    <row r="382">
      <c r="A382" s="25" t="n"/>
      <c r="B382" s="26" t="n"/>
      <c r="C382" s="28" t="n"/>
      <c r="D382" s="31" t="n"/>
      <c r="E382" s="29">
        <f>IF(C382="","",C382*N(D382)*30/70)</f>
        <v/>
      </c>
      <c r="F382" s="26" t="n"/>
      <c r="G382" s="26" t="n"/>
      <c r="H382" s="32">
        <f>IF(A382="","","FY"&amp;(YEAR(A382)+IF(MONTH(A382)&gt;=7,1,0)))</f>
        <v/>
      </c>
      <c r="I382" s="26" t="n"/>
    </row>
    <row r="383">
      <c r="A383" s="25" t="n"/>
      <c r="B383" s="26" t="n"/>
      <c r="C383" s="28" t="n"/>
      <c r="D383" s="31" t="n"/>
      <c r="E383" s="29">
        <f>IF(C383="","",C383*N(D383)*30/70)</f>
        <v/>
      </c>
      <c r="F383" s="26" t="n"/>
      <c r="G383" s="26" t="n"/>
      <c r="H383" s="32">
        <f>IF(A383="","","FY"&amp;(YEAR(A383)+IF(MONTH(A383)&gt;=7,1,0)))</f>
        <v/>
      </c>
      <c r="I383" s="26" t="n"/>
    </row>
    <row r="384">
      <c r="A384" s="25" t="n"/>
      <c r="B384" s="26" t="n"/>
      <c r="C384" s="28" t="n"/>
      <c r="D384" s="31" t="n"/>
      <c r="E384" s="29">
        <f>IF(C384="","",C384*N(D384)*30/70)</f>
        <v/>
      </c>
      <c r="F384" s="26" t="n"/>
      <c r="G384" s="26" t="n"/>
      <c r="H384" s="32">
        <f>IF(A384="","","FY"&amp;(YEAR(A384)+IF(MONTH(A384)&gt;=7,1,0)))</f>
        <v/>
      </c>
      <c r="I384" s="26" t="n"/>
    </row>
    <row r="385">
      <c r="A385" s="25" t="n"/>
      <c r="B385" s="26" t="n"/>
      <c r="C385" s="28" t="n"/>
      <c r="D385" s="31" t="n"/>
      <c r="E385" s="29">
        <f>IF(C385="","",C385*N(D385)*30/70)</f>
        <v/>
      </c>
      <c r="F385" s="26" t="n"/>
      <c r="G385" s="26" t="n"/>
      <c r="H385" s="32">
        <f>IF(A385="","","FY"&amp;(YEAR(A385)+IF(MONTH(A385)&gt;=7,1,0)))</f>
        <v/>
      </c>
      <c r="I385" s="26" t="n"/>
    </row>
    <row r="386">
      <c r="A386" s="25" t="n"/>
      <c r="B386" s="26" t="n"/>
      <c r="C386" s="28" t="n"/>
      <c r="D386" s="31" t="n"/>
      <c r="E386" s="29">
        <f>IF(C386="","",C386*N(D386)*30/70)</f>
        <v/>
      </c>
      <c r="F386" s="26" t="n"/>
      <c r="G386" s="26" t="n"/>
      <c r="H386" s="32">
        <f>IF(A386="","","FY"&amp;(YEAR(A386)+IF(MONTH(A386)&gt;=7,1,0)))</f>
        <v/>
      </c>
      <c r="I386" s="26" t="n"/>
    </row>
    <row r="387">
      <c r="A387" s="25" t="n"/>
      <c r="B387" s="26" t="n"/>
      <c r="C387" s="28" t="n"/>
      <c r="D387" s="31" t="n"/>
      <c r="E387" s="29">
        <f>IF(C387="","",C387*N(D387)*30/70)</f>
        <v/>
      </c>
      <c r="F387" s="26" t="n"/>
      <c r="G387" s="26" t="n"/>
      <c r="H387" s="32">
        <f>IF(A387="","","FY"&amp;(YEAR(A387)+IF(MONTH(A387)&gt;=7,1,0)))</f>
        <v/>
      </c>
      <c r="I387" s="26" t="n"/>
    </row>
    <row r="388">
      <c r="A388" s="25" t="n"/>
      <c r="B388" s="26" t="n"/>
      <c r="C388" s="28" t="n"/>
      <c r="D388" s="31" t="n"/>
      <c r="E388" s="29">
        <f>IF(C388="","",C388*N(D388)*30/70)</f>
        <v/>
      </c>
      <c r="F388" s="26" t="n"/>
      <c r="G388" s="26" t="n"/>
      <c r="H388" s="32">
        <f>IF(A388="","","FY"&amp;(YEAR(A388)+IF(MONTH(A388)&gt;=7,1,0)))</f>
        <v/>
      </c>
      <c r="I388" s="26" t="n"/>
    </row>
    <row r="389">
      <c r="A389" s="25" t="n"/>
      <c r="B389" s="26" t="n"/>
      <c r="C389" s="28" t="n"/>
      <c r="D389" s="31" t="n"/>
      <c r="E389" s="29">
        <f>IF(C389="","",C389*N(D389)*30/70)</f>
        <v/>
      </c>
      <c r="F389" s="26" t="n"/>
      <c r="G389" s="26" t="n"/>
      <c r="H389" s="32">
        <f>IF(A389="","","FY"&amp;(YEAR(A389)+IF(MONTH(A389)&gt;=7,1,0)))</f>
        <v/>
      </c>
      <c r="I389" s="26" t="n"/>
    </row>
    <row r="390">
      <c r="A390" s="25" t="n"/>
      <c r="B390" s="26" t="n"/>
      <c r="C390" s="28" t="n"/>
      <c r="D390" s="31" t="n"/>
      <c r="E390" s="29">
        <f>IF(C390="","",C390*N(D390)*30/70)</f>
        <v/>
      </c>
      <c r="F390" s="26" t="n"/>
      <c r="G390" s="26" t="n"/>
      <c r="H390" s="32">
        <f>IF(A390="","","FY"&amp;(YEAR(A390)+IF(MONTH(A390)&gt;=7,1,0)))</f>
        <v/>
      </c>
      <c r="I390" s="26" t="n"/>
    </row>
    <row r="391">
      <c r="A391" s="25" t="n"/>
      <c r="B391" s="26" t="n"/>
      <c r="C391" s="28" t="n"/>
      <c r="D391" s="31" t="n"/>
      <c r="E391" s="29">
        <f>IF(C391="","",C391*N(D391)*30/70)</f>
        <v/>
      </c>
      <c r="F391" s="26" t="n"/>
      <c r="G391" s="26" t="n"/>
      <c r="H391" s="32">
        <f>IF(A391="","","FY"&amp;(YEAR(A391)+IF(MONTH(A391)&gt;=7,1,0)))</f>
        <v/>
      </c>
      <c r="I391" s="26" t="n"/>
    </row>
    <row r="392">
      <c r="A392" s="25" t="n"/>
      <c r="B392" s="26" t="n"/>
      <c r="C392" s="28" t="n"/>
      <c r="D392" s="31" t="n"/>
      <c r="E392" s="29">
        <f>IF(C392="","",C392*N(D392)*30/70)</f>
        <v/>
      </c>
      <c r="F392" s="26" t="n"/>
      <c r="G392" s="26" t="n"/>
      <c r="H392" s="32">
        <f>IF(A392="","","FY"&amp;(YEAR(A392)+IF(MONTH(A392)&gt;=7,1,0)))</f>
        <v/>
      </c>
      <c r="I392" s="26" t="n"/>
    </row>
    <row r="393">
      <c r="A393" s="25" t="n"/>
      <c r="B393" s="26" t="n"/>
      <c r="C393" s="28" t="n"/>
      <c r="D393" s="31" t="n"/>
      <c r="E393" s="29">
        <f>IF(C393="","",C393*N(D393)*30/70)</f>
        <v/>
      </c>
      <c r="F393" s="26" t="n"/>
      <c r="G393" s="26" t="n"/>
      <c r="H393" s="32">
        <f>IF(A393="","","FY"&amp;(YEAR(A393)+IF(MONTH(A393)&gt;=7,1,0)))</f>
        <v/>
      </c>
      <c r="I393" s="26" t="n"/>
    </row>
    <row r="394">
      <c r="A394" s="25" t="n"/>
      <c r="B394" s="26" t="n"/>
      <c r="C394" s="28" t="n"/>
      <c r="D394" s="31" t="n"/>
      <c r="E394" s="29">
        <f>IF(C394="","",C394*N(D394)*30/70)</f>
        <v/>
      </c>
      <c r="F394" s="26" t="n"/>
      <c r="G394" s="26" t="n"/>
      <c r="H394" s="32">
        <f>IF(A394="","","FY"&amp;(YEAR(A394)+IF(MONTH(A394)&gt;=7,1,0)))</f>
        <v/>
      </c>
      <c r="I394" s="26" t="n"/>
    </row>
    <row r="395">
      <c r="A395" s="25" t="n"/>
      <c r="B395" s="26" t="n"/>
      <c r="C395" s="28" t="n"/>
      <c r="D395" s="31" t="n"/>
      <c r="E395" s="29">
        <f>IF(C395="","",C395*N(D395)*30/70)</f>
        <v/>
      </c>
      <c r="F395" s="26" t="n"/>
      <c r="G395" s="26" t="n"/>
      <c r="H395" s="32">
        <f>IF(A395="","","FY"&amp;(YEAR(A395)+IF(MONTH(A395)&gt;=7,1,0)))</f>
        <v/>
      </c>
      <c r="I395" s="26" t="n"/>
    </row>
    <row r="396">
      <c r="A396" s="25" t="n"/>
      <c r="B396" s="26" t="n"/>
      <c r="C396" s="28" t="n"/>
      <c r="D396" s="31" t="n"/>
      <c r="E396" s="29">
        <f>IF(C396="","",C396*N(D396)*30/70)</f>
        <v/>
      </c>
      <c r="F396" s="26" t="n"/>
      <c r="G396" s="26" t="n"/>
      <c r="H396" s="32">
        <f>IF(A396="","","FY"&amp;(YEAR(A396)+IF(MONTH(A396)&gt;=7,1,0)))</f>
        <v/>
      </c>
      <c r="I396" s="26" t="n"/>
    </row>
    <row r="397">
      <c r="A397" s="25" t="n"/>
      <c r="B397" s="26" t="n"/>
      <c r="C397" s="28" t="n"/>
      <c r="D397" s="31" t="n"/>
      <c r="E397" s="29">
        <f>IF(C397="","",C397*N(D397)*30/70)</f>
        <v/>
      </c>
      <c r="F397" s="26" t="n"/>
      <c r="G397" s="26" t="n"/>
      <c r="H397" s="32">
        <f>IF(A397="","","FY"&amp;(YEAR(A397)+IF(MONTH(A397)&gt;=7,1,0)))</f>
        <v/>
      </c>
      <c r="I397" s="26" t="n"/>
    </row>
    <row r="398">
      <c r="A398" s="25" t="n"/>
      <c r="B398" s="26" t="n"/>
      <c r="C398" s="28" t="n"/>
      <c r="D398" s="31" t="n"/>
      <c r="E398" s="29">
        <f>IF(C398="","",C398*N(D398)*30/70)</f>
        <v/>
      </c>
      <c r="F398" s="26" t="n"/>
      <c r="G398" s="26" t="n"/>
      <c r="H398" s="32">
        <f>IF(A398="","","FY"&amp;(YEAR(A398)+IF(MONTH(A398)&gt;=7,1,0)))</f>
        <v/>
      </c>
      <c r="I398" s="26" t="n"/>
    </row>
    <row r="399">
      <c r="A399" s="25" t="n"/>
      <c r="B399" s="26" t="n"/>
      <c r="C399" s="28" t="n"/>
      <c r="D399" s="31" t="n"/>
      <c r="E399" s="29">
        <f>IF(C399="","",C399*N(D399)*30/70)</f>
        <v/>
      </c>
      <c r="F399" s="26" t="n"/>
      <c r="G399" s="26" t="n"/>
      <c r="H399" s="32">
        <f>IF(A399="","","FY"&amp;(YEAR(A399)+IF(MONTH(A399)&gt;=7,1,0)))</f>
        <v/>
      </c>
      <c r="I399" s="26" t="n"/>
    </row>
    <row r="400">
      <c r="A400" s="25" t="n"/>
      <c r="B400" s="26" t="n"/>
      <c r="C400" s="28" t="n"/>
      <c r="D400" s="31" t="n"/>
      <c r="E400" s="29">
        <f>IF(C400="","",C400*N(D400)*30/70)</f>
        <v/>
      </c>
      <c r="F400" s="26" t="n"/>
      <c r="G400" s="26" t="n"/>
      <c r="H400" s="32">
        <f>IF(A400="","","FY"&amp;(YEAR(A400)+IF(MONTH(A400)&gt;=7,1,0)))</f>
        <v/>
      </c>
      <c r="I400" s="26" t="n"/>
    </row>
    <row r="401">
      <c r="A401" s="25" t="n"/>
      <c r="B401" s="26" t="n"/>
      <c r="C401" s="28" t="n"/>
      <c r="D401" s="31" t="n"/>
      <c r="E401" s="29">
        <f>IF(C401="","",C401*N(D401)*30/70)</f>
        <v/>
      </c>
      <c r="F401" s="26" t="n"/>
      <c r="G401" s="26" t="n"/>
      <c r="H401" s="32">
        <f>IF(A401="","","FY"&amp;(YEAR(A401)+IF(MONTH(A401)&gt;=7,1,0)))</f>
        <v/>
      </c>
      <c r="I401" s="26" t="n"/>
    </row>
    <row r="402">
      <c r="A402" s="25" t="n"/>
      <c r="B402" s="26" t="n"/>
      <c r="C402" s="28" t="n"/>
      <c r="D402" s="31" t="n"/>
      <c r="E402" s="29">
        <f>IF(C402="","",C402*N(D402)*30/70)</f>
        <v/>
      </c>
      <c r="F402" s="26" t="n"/>
      <c r="G402" s="26" t="n"/>
      <c r="H402" s="32">
        <f>IF(A402="","","FY"&amp;(YEAR(A402)+IF(MONTH(A402)&gt;=7,1,0)))</f>
        <v/>
      </c>
      <c r="I402" s="26" t="n"/>
    </row>
    <row r="403">
      <c r="A403" s="25" t="n"/>
      <c r="B403" s="26" t="n"/>
      <c r="C403" s="28" t="n"/>
      <c r="D403" s="31" t="n"/>
      <c r="E403" s="29">
        <f>IF(C403="","",C403*N(D403)*30/70)</f>
        <v/>
      </c>
      <c r="F403" s="26" t="n"/>
      <c r="G403" s="26" t="n"/>
      <c r="H403" s="32">
        <f>IF(A403="","","FY"&amp;(YEAR(A403)+IF(MONTH(A403)&gt;=7,1,0)))</f>
        <v/>
      </c>
      <c r="I403" s="26" t="n"/>
    </row>
    <row r="404">
      <c r="A404" s="25" t="n"/>
      <c r="B404" s="26" t="n"/>
      <c r="C404" s="28" t="n"/>
      <c r="D404" s="31" t="n"/>
      <c r="E404" s="29">
        <f>IF(C404="","",C404*N(D404)*30/70)</f>
        <v/>
      </c>
      <c r="F404" s="26" t="n"/>
      <c r="G404" s="26" t="n"/>
      <c r="H404" s="32">
        <f>IF(A404="","","FY"&amp;(YEAR(A404)+IF(MONTH(A404)&gt;=7,1,0)))</f>
        <v/>
      </c>
      <c r="I404" s="26" t="n"/>
    </row>
    <row r="405">
      <c r="A405" s="25" t="n"/>
      <c r="B405" s="26" t="n"/>
      <c r="C405" s="28" t="n"/>
      <c r="D405" s="31" t="n"/>
      <c r="E405" s="29">
        <f>IF(C405="","",C405*N(D405)*30/70)</f>
        <v/>
      </c>
      <c r="F405" s="26" t="n"/>
      <c r="G405" s="26" t="n"/>
      <c r="H405" s="32">
        <f>IF(A405="","","FY"&amp;(YEAR(A405)+IF(MONTH(A405)&gt;=7,1,0)))</f>
        <v/>
      </c>
      <c r="I405" s="26" t="n"/>
    </row>
    <row r="406">
      <c r="A406" s="25" t="n"/>
      <c r="B406" s="26" t="n"/>
      <c r="C406" s="28" t="n"/>
      <c r="D406" s="31" t="n"/>
      <c r="E406" s="29">
        <f>IF(C406="","",C406*N(D406)*30/70)</f>
        <v/>
      </c>
      <c r="F406" s="26" t="n"/>
      <c r="G406" s="26" t="n"/>
      <c r="H406" s="32">
        <f>IF(A406="","","FY"&amp;(YEAR(A406)+IF(MONTH(A406)&gt;=7,1,0)))</f>
        <v/>
      </c>
      <c r="I406" s="26" t="n"/>
    </row>
    <row r="407">
      <c r="A407" s="25" t="n"/>
      <c r="B407" s="26" t="n"/>
      <c r="C407" s="28" t="n"/>
      <c r="D407" s="31" t="n"/>
      <c r="E407" s="29">
        <f>IF(C407="","",C407*N(D407)*30/70)</f>
        <v/>
      </c>
      <c r="F407" s="26" t="n"/>
      <c r="G407" s="26" t="n"/>
      <c r="H407" s="32">
        <f>IF(A407="","","FY"&amp;(YEAR(A407)+IF(MONTH(A407)&gt;=7,1,0)))</f>
        <v/>
      </c>
      <c r="I407" s="26" t="n"/>
    </row>
    <row r="408">
      <c r="A408" s="25" t="n"/>
      <c r="B408" s="26" t="n"/>
      <c r="C408" s="28" t="n"/>
      <c r="D408" s="31" t="n"/>
      <c r="E408" s="29">
        <f>IF(C408="","",C408*N(D408)*30/70)</f>
        <v/>
      </c>
      <c r="F408" s="26" t="n"/>
      <c r="G408" s="26" t="n"/>
      <c r="H408" s="32">
        <f>IF(A408="","","FY"&amp;(YEAR(A408)+IF(MONTH(A408)&gt;=7,1,0)))</f>
        <v/>
      </c>
      <c r="I408" s="26" t="n"/>
    </row>
    <row r="409">
      <c r="A409" s="25" t="n"/>
      <c r="B409" s="26" t="n"/>
      <c r="C409" s="28" t="n"/>
      <c r="D409" s="31" t="n"/>
      <c r="E409" s="29">
        <f>IF(C409="","",C409*N(D409)*30/70)</f>
        <v/>
      </c>
      <c r="F409" s="26" t="n"/>
      <c r="G409" s="26" t="n"/>
      <c r="H409" s="32">
        <f>IF(A409="","","FY"&amp;(YEAR(A409)+IF(MONTH(A409)&gt;=7,1,0)))</f>
        <v/>
      </c>
      <c r="I409" s="26" t="n"/>
    </row>
    <row r="410">
      <c r="A410" s="25" t="n"/>
      <c r="B410" s="26" t="n"/>
      <c r="C410" s="28" t="n"/>
      <c r="D410" s="31" t="n"/>
      <c r="E410" s="29">
        <f>IF(C410="","",C410*N(D410)*30/70)</f>
        <v/>
      </c>
      <c r="F410" s="26" t="n"/>
      <c r="G410" s="26" t="n"/>
      <c r="H410" s="32">
        <f>IF(A410="","","FY"&amp;(YEAR(A410)+IF(MONTH(A410)&gt;=7,1,0)))</f>
        <v/>
      </c>
      <c r="I410" s="26" t="n"/>
    </row>
    <row r="411">
      <c r="A411" s="25" t="n"/>
      <c r="B411" s="26" t="n"/>
      <c r="C411" s="28" t="n"/>
      <c r="D411" s="31" t="n"/>
      <c r="E411" s="29">
        <f>IF(C411="","",C411*N(D411)*30/70)</f>
        <v/>
      </c>
      <c r="F411" s="26" t="n"/>
      <c r="G411" s="26" t="n"/>
      <c r="H411" s="32">
        <f>IF(A411="","","FY"&amp;(YEAR(A411)+IF(MONTH(A411)&gt;=7,1,0)))</f>
        <v/>
      </c>
      <c r="I411" s="26" t="n"/>
    </row>
    <row r="412">
      <c r="A412" s="25" t="n"/>
      <c r="B412" s="26" t="n"/>
      <c r="C412" s="28" t="n"/>
      <c r="D412" s="31" t="n"/>
      <c r="E412" s="29">
        <f>IF(C412="","",C412*N(D412)*30/70)</f>
        <v/>
      </c>
      <c r="F412" s="26" t="n"/>
      <c r="G412" s="26" t="n"/>
      <c r="H412" s="32">
        <f>IF(A412="","","FY"&amp;(YEAR(A412)+IF(MONTH(A412)&gt;=7,1,0)))</f>
        <v/>
      </c>
      <c r="I412" s="26" t="n"/>
    </row>
    <row r="413">
      <c r="A413" s="25" t="n"/>
      <c r="B413" s="26" t="n"/>
      <c r="C413" s="28" t="n"/>
      <c r="D413" s="31" t="n"/>
      <c r="E413" s="29">
        <f>IF(C413="","",C413*N(D413)*30/70)</f>
        <v/>
      </c>
      <c r="F413" s="26" t="n"/>
      <c r="G413" s="26" t="n"/>
      <c r="H413" s="32">
        <f>IF(A413="","","FY"&amp;(YEAR(A413)+IF(MONTH(A413)&gt;=7,1,0)))</f>
        <v/>
      </c>
      <c r="I413" s="26" t="n"/>
    </row>
    <row r="414">
      <c r="A414" s="25" t="n"/>
      <c r="B414" s="26" t="n"/>
      <c r="C414" s="28" t="n"/>
      <c r="D414" s="31" t="n"/>
      <c r="E414" s="29">
        <f>IF(C414="","",C414*N(D414)*30/70)</f>
        <v/>
      </c>
      <c r="F414" s="26" t="n"/>
      <c r="G414" s="26" t="n"/>
      <c r="H414" s="32">
        <f>IF(A414="","","FY"&amp;(YEAR(A414)+IF(MONTH(A414)&gt;=7,1,0)))</f>
        <v/>
      </c>
      <c r="I414" s="26" t="n"/>
    </row>
    <row r="415">
      <c r="A415" s="25" t="n"/>
      <c r="B415" s="26" t="n"/>
      <c r="C415" s="28" t="n"/>
      <c r="D415" s="31" t="n"/>
      <c r="E415" s="29">
        <f>IF(C415="","",C415*N(D415)*30/70)</f>
        <v/>
      </c>
      <c r="F415" s="26" t="n"/>
      <c r="G415" s="26" t="n"/>
      <c r="H415" s="32">
        <f>IF(A415="","","FY"&amp;(YEAR(A415)+IF(MONTH(A415)&gt;=7,1,0)))</f>
        <v/>
      </c>
      <c r="I415" s="26" t="n"/>
    </row>
    <row r="416">
      <c r="A416" s="25" t="n"/>
      <c r="B416" s="26" t="n"/>
      <c r="C416" s="28" t="n"/>
      <c r="D416" s="31" t="n"/>
      <c r="E416" s="29">
        <f>IF(C416="","",C416*N(D416)*30/70)</f>
        <v/>
      </c>
      <c r="F416" s="26" t="n"/>
      <c r="G416" s="26" t="n"/>
      <c r="H416" s="32">
        <f>IF(A416="","","FY"&amp;(YEAR(A416)+IF(MONTH(A416)&gt;=7,1,0)))</f>
        <v/>
      </c>
      <c r="I416" s="26" t="n"/>
    </row>
    <row r="417">
      <c r="A417" s="25" t="n"/>
      <c r="B417" s="26" t="n"/>
      <c r="C417" s="28" t="n"/>
      <c r="D417" s="31" t="n"/>
      <c r="E417" s="29">
        <f>IF(C417="","",C417*N(D417)*30/70)</f>
        <v/>
      </c>
      <c r="F417" s="26" t="n"/>
      <c r="G417" s="26" t="n"/>
      <c r="H417" s="32">
        <f>IF(A417="","","FY"&amp;(YEAR(A417)+IF(MONTH(A417)&gt;=7,1,0)))</f>
        <v/>
      </c>
      <c r="I417" s="26" t="n"/>
    </row>
    <row r="418">
      <c r="A418" s="25" t="n"/>
      <c r="B418" s="26" t="n"/>
      <c r="C418" s="28" t="n"/>
      <c r="D418" s="31" t="n"/>
      <c r="E418" s="29">
        <f>IF(C418="","",C418*N(D418)*30/70)</f>
        <v/>
      </c>
      <c r="F418" s="26" t="n"/>
      <c r="G418" s="26" t="n"/>
      <c r="H418" s="32">
        <f>IF(A418="","","FY"&amp;(YEAR(A418)+IF(MONTH(A418)&gt;=7,1,0)))</f>
        <v/>
      </c>
      <c r="I418" s="26" t="n"/>
    </row>
    <row r="419">
      <c r="A419" s="25" t="n"/>
      <c r="B419" s="26" t="n"/>
      <c r="C419" s="28" t="n"/>
      <c r="D419" s="31" t="n"/>
      <c r="E419" s="29">
        <f>IF(C419="","",C419*N(D419)*30/70)</f>
        <v/>
      </c>
      <c r="F419" s="26" t="n"/>
      <c r="G419" s="26" t="n"/>
      <c r="H419" s="32">
        <f>IF(A419="","","FY"&amp;(YEAR(A419)+IF(MONTH(A419)&gt;=7,1,0)))</f>
        <v/>
      </c>
      <c r="I419" s="26" t="n"/>
    </row>
    <row r="420">
      <c r="A420" s="25" t="n"/>
      <c r="B420" s="26" t="n"/>
      <c r="C420" s="28" t="n"/>
      <c r="D420" s="31" t="n"/>
      <c r="E420" s="29">
        <f>IF(C420="","",C420*N(D420)*30/70)</f>
        <v/>
      </c>
      <c r="F420" s="26" t="n"/>
      <c r="G420" s="26" t="n"/>
      <c r="H420" s="32">
        <f>IF(A420="","","FY"&amp;(YEAR(A420)+IF(MONTH(A420)&gt;=7,1,0)))</f>
        <v/>
      </c>
      <c r="I420" s="26" t="n"/>
    </row>
    <row r="421">
      <c r="A421" s="25" t="n"/>
      <c r="B421" s="26" t="n"/>
      <c r="C421" s="28" t="n"/>
      <c r="D421" s="31" t="n"/>
      <c r="E421" s="29">
        <f>IF(C421="","",C421*N(D421)*30/70)</f>
        <v/>
      </c>
      <c r="F421" s="26" t="n"/>
      <c r="G421" s="26" t="n"/>
      <c r="H421" s="32">
        <f>IF(A421="","","FY"&amp;(YEAR(A421)+IF(MONTH(A421)&gt;=7,1,0)))</f>
        <v/>
      </c>
      <c r="I421" s="26" t="n"/>
    </row>
    <row r="422">
      <c r="A422" s="25" t="n"/>
      <c r="B422" s="26" t="n"/>
      <c r="C422" s="28" t="n"/>
      <c r="D422" s="31" t="n"/>
      <c r="E422" s="29">
        <f>IF(C422="","",C422*N(D422)*30/70)</f>
        <v/>
      </c>
      <c r="F422" s="26" t="n"/>
      <c r="G422" s="26" t="n"/>
      <c r="H422" s="32">
        <f>IF(A422="","","FY"&amp;(YEAR(A422)+IF(MONTH(A422)&gt;=7,1,0)))</f>
        <v/>
      </c>
      <c r="I422" s="26" t="n"/>
    </row>
    <row r="423">
      <c r="A423" s="25" t="n"/>
      <c r="B423" s="26" t="n"/>
      <c r="C423" s="28" t="n"/>
      <c r="D423" s="31" t="n"/>
      <c r="E423" s="29">
        <f>IF(C423="","",C423*N(D423)*30/70)</f>
        <v/>
      </c>
      <c r="F423" s="26" t="n"/>
      <c r="G423" s="26" t="n"/>
      <c r="H423" s="32">
        <f>IF(A423="","","FY"&amp;(YEAR(A423)+IF(MONTH(A423)&gt;=7,1,0)))</f>
        <v/>
      </c>
      <c r="I423" s="26" t="n"/>
    </row>
    <row r="424">
      <c r="A424" s="25" t="n"/>
      <c r="B424" s="26" t="n"/>
      <c r="C424" s="28" t="n"/>
      <c r="D424" s="31" t="n"/>
      <c r="E424" s="29">
        <f>IF(C424="","",C424*N(D424)*30/70)</f>
        <v/>
      </c>
      <c r="F424" s="26" t="n"/>
      <c r="G424" s="26" t="n"/>
      <c r="H424" s="32">
        <f>IF(A424="","","FY"&amp;(YEAR(A424)+IF(MONTH(A424)&gt;=7,1,0)))</f>
        <v/>
      </c>
      <c r="I424" s="26" t="n"/>
    </row>
    <row r="425">
      <c r="A425" s="25" t="n"/>
      <c r="B425" s="26" t="n"/>
      <c r="C425" s="28" t="n"/>
      <c r="D425" s="31" t="n"/>
      <c r="E425" s="29">
        <f>IF(C425="","",C425*N(D425)*30/70)</f>
        <v/>
      </c>
      <c r="F425" s="26" t="n"/>
      <c r="G425" s="26" t="n"/>
      <c r="H425" s="32">
        <f>IF(A425="","","FY"&amp;(YEAR(A425)+IF(MONTH(A425)&gt;=7,1,0)))</f>
        <v/>
      </c>
      <c r="I425" s="26" t="n"/>
    </row>
    <row r="426">
      <c r="A426" s="25" t="n"/>
      <c r="B426" s="26" t="n"/>
      <c r="C426" s="28" t="n"/>
      <c r="D426" s="31" t="n"/>
      <c r="E426" s="29">
        <f>IF(C426="","",C426*N(D426)*30/70)</f>
        <v/>
      </c>
      <c r="F426" s="26" t="n"/>
      <c r="G426" s="26" t="n"/>
      <c r="H426" s="32">
        <f>IF(A426="","","FY"&amp;(YEAR(A426)+IF(MONTH(A426)&gt;=7,1,0)))</f>
        <v/>
      </c>
      <c r="I426" s="26" t="n"/>
    </row>
    <row r="427">
      <c r="A427" s="25" t="n"/>
      <c r="B427" s="26" t="n"/>
      <c r="C427" s="28" t="n"/>
      <c r="D427" s="31" t="n"/>
      <c r="E427" s="29">
        <f>IF(C427="","",C427*N(D427)*30/70)</f>
        <v/>
      </c>
      <c r="F427" s="26" t="n"/>
      <c r="G427" s="26" t="n"/>
      <c r="H427" s="32">
        <f>IF(A427="","","FY"&amp;(YEAR(A427)+IF(MONTH(A427)&gt;=7,1,0)))</f>
        <v/>
      </c>
      <c r="I427" s="26" t="n"/>
    </row>
    <row r="428">
      <c r="A428" s="25" t="n"/>
      <c r="B428" s="26" t="n"/>
      <c r="C428" s="28" t="n"/>
      <c r="D428" s="31" t="n"/>
      <c r="E428" s="29">
        <f>IF(C428="","",C428*N(D428)*30/70)</f>
        <v/>
      </c>
      <c r="F428" s="26" t="n"/>
      <c r="G428" s="26" t="n"/>
      <c r="H428" s="32">
        <f>IF(A428="","","FY"&amp;(YEAR(A428)+IF(MONTH(A428)&gt;=7,1,0)))</f>
        <v/>
      </c>
      <c r="I428" s="26" t="n"/>
    </row>
    <row r="429">
      <c r="A429" s="25" t="n"/>
      <c r="B429" s="26" t="n"/>
      <c r="C429" s="28" t="n"/>
      <c r="D429" s="31" t="n"/>
      <c r="E429" s="29">
        <f>IF(C429="","",C429*N(D429)*30/70)</f>
        <v/>
      </c>
      <c r="F429" s="26" t="n"/>
      <c r="G429" s="26" t="n"/>
      <c r="H429" s="32">
        <f>IF(A429="","","FY"&amp;(YEAR(A429)+IF(MONTH(A429)&gt;=7,1,0)))</f>
        <v/>
      </c>
      <c r="I429" s="26" t="n"/>
    </row>
    <row r="430">
      <c r="A430" s="25" t="n"/>
      <c r="B430" s="26" t="n"/>
      <c r="C430" s="28" t="n"/>
      <c r="D430" s="31" t="n"/>
      <c r="E430" s="29">
        <f>IF(C430="","",C430*N(D430)*30/70)</f>
        <v/>
      </c>
      <c r="F430" s="26" t="n"/>
      <c r="G430" s="26" t="n"/>
      <c r="H430" s="32">
        <f>IF(A430="","","FY"&amp;(YEAR(A430)+IF(MONTH(A430)&gt;=7,1,0)))</f>
        <v/>
      </c>
      <c r="I430" s="26" t="n"/>
    </row>
    <row r="431">
      <c r="A431" s="25" t="n"/>
      <c r="B431" s="26" t="n"/>
      <c r="C431" s="28" t="n"/>
      <c r="D431" s="31" t="n"/>
      <c r="E431" s="29">
        <f>IF(C431="","",C431*N(D431)*30/70)</f>
        <v/>
      </c>
      <c r="F431" s="26" t="n"/>
      <c r="G431" s="26" t="n"/>
      <c r="H431" s="32">
        <f>IF(A431="","","FY"&amp;(YEAR(A431)+IF(MONTH(A431)&gt;=7,1,0)))</f>
        <v/>
      </c>
      <c r="I431" s="26" t="n"/>
    </row>
    <row r="432">
      <c r="A432" s="25" t="n"/>
      <c r="B432" s="26" t="n"/>
      <c r="C432" s="28" t="n"/>
      <c r="D432" s="31" t="n"/>
      <c r="E432" s="29">
        <f>IF(C432="","",C432*N(D432)*30/70)</f>
        <v/>
      </c>
      <c r="F432" s="26" t="n"/>
      <c r="G432" s="26" t="n"/>
      <c r="H432" s="32">
        <f>IF(A432="","","FY"&amp;(YEAR(A432)+IF(MONTH(A432)&gt;=7,1,0)))</f>
        <v/>
      </c>
      <c r="I432" s="26" t="n"/>
    </row>
    <row r="433">
      <c r="A433" s="25" t="n"/>
      <c r="B433" s="26" t="n"/>
      <c r="C433" s="28" t="n"/>
      <c r="D433" s="31" t="n"/>
      <c r="E433" s="29">
        <f>IF(C433="","",C433*N(D433)*30/70)</f>
        <v/>
      </c>
      <c r="F433" s="26" t="n"/>
      <c r="G433" s="26" t="n"/>
      <c r="H433" s="32">
        <f>IF(A433="","","FY"&amp;(YEAR(A433)+IF(MONTH(A433)&gt;=7,1,0)))</f>
        <v/>
      </c>
      <c r="I433" s="26" t="n"/>
    </row>
    <row r="434">
      <c r="A434" s="25" t="n"/>
      <c r="B434" s="26" t="n"/>
      <c r="C434" s="28" t="n"/>
      <c r="D434" s="31" t="n"/>
      <c r="E434" s="29">
        <f>IF(C434="","",C434*N(D434)*30/70)</f>
        <v/>
      </c>
      <c r="F434" s="26" t="n"/>
      <c r="G434" s="26" t="n"/>
      <c r="H434" s="32">
        <f>IF(A434="","","FY"&amp;(YEAR(A434)+IF(MONTH(A434)&gt;=7,1,0)))</f>
        <v/>
      </c>
      <c r="I434" s="26" t="n"/>
    </row>
    <row r="435">
      <c r="A435" s="25" t="n"/>
      <c r="B435" s="26" t="n"/>
      <c r="C435" s="28" t="n"/>
      <c r="D435" s="31" t="n"/>
      <c r="E435" s="29">
        <f>IF(C435="","",C435*N(D435)*30/70)</f>
        <v/>
      </c>
      <c r="F435" s="26" t="n"/>
      <c r="G435" s="26" t="n"/>
      <c r="H435" s="32">
        <f>IF(A435="","","FY"&amp;(YEAR(A435)+IF(MONTH(A435)&gt;=7,1,0)))</f>
        <v/>
      </c>
      <c r="I435" s="26" t="n"/>
    </row>
    <row r="436">
      <c r="A436" s="25" t="n"/>
      <c r="B436" s="26" t="n"/>
      <c r="C436" s="28" t="n"/>
      <c r="D436" s="31" t="n"/>
      <c r="E436" s="29">
        <f>IF(C436="","",C436*N(D436)*30/70)</f>
        <v/>
      </c>
      <c r="F436" s="26" t="n"/>
      <c r="G436" s="26" t="n"/>
      <c r="H436" s="32">
        <f>IF(A436="","","FY"&amp;(YEAR(A436)+IF(MONTH(A436)&gt;=7,1,0)))</f>
        <v/>
      </c>
      <c r="I436" s="26" t="n"/>
    </row>
    <row r="437">
      <c r="A437" s="25" t="n"/>
      <c r="B437" s="26" t="n"/>
      <c r="C437" s="28" t="n"/>
      <c r="D437" s="31" t="n"/>
      <c r="E437" s="29">
        <f>IF(C437="","",C437*N(D437)*30/70)</f>
        <v/>
      </c>
      <c r="F437" s="26" t="n"/>
      <c r="G437" s="26" t="n"/>
      <c r="H437" s="32">
        <f>IF(A437="","","FY"&amp;(YEAR(A437)+IF(MONTH(A437)&gt;=7,1,0)))</f>
        <v/>
      </c>
      <c r="I437" s="26" t="n"/>
    </row>
    <row r="438">
      <c r="A438" s="25" t="n"/>
      <c r="B438" s="26" t="n"/>
      <c r="C438" s="28" t="n"/>
      <c r="D438" s="31" t="n"/>
      <c r="E438" s="29">
        <f>IF(C438="","",C438*N(D438)*30/70)</f>
        <v/>
      </c>
      <c r="F438" s="26" t="n"/>
      <c r="G438" s="26" t="n"/>
      <c r="H438" s="32">
        <f>IF(A438="","","FY"&amp;(YEAR(A438)+IF(MONTH(A438)&gt;=7,1,0)))</f>
        <v/>
      </c>
      <c r="I438" s="26" t="n"/>
    </row>
    <row r="439">
      <c r="A439" s="25" t="n"/>
      <c r="B439" s="26" t="n"/>
      <c r="C439" s="28" t="n"/>
      <c r="D439" s="31" t="n"/>
      <c r="E439" s="29">
        <f>IF(C439="","",C439*N(D439)*30/70)</f>
        <v/>
      </c>
      <c r="F439" s="26" t="n"/>
      <c r="G439" s="26" t="n"/>
      <c r="H439" s="32">
        <f>IF(A439="","","FY"&amp;(YEAR(A439)+IF(MONTH(A439)&gt;=7,1,0)))</f>
        <v/>
      </c>
      <c r="I439" s="26" t="n"/>
    </row>
    <row r="440">
      <c r="A440" s="25" t="n"/>
      <c r="B440" s="26" t="n"/>
      <c r="C440" s="28" t="n"/>
      <c r="D440" s="31" t="n"/>
      <c r="E440" s="29">
        <f>IF(C440="","",C440*N(D440)*30/70)</f>
        <v/>
      </c>
      <c r="F440" s="26" t="n"/>
      <c r="G440" s="26" t="n"/>
      <c r="H440" s="32">
        <f>IF(A440="","","FY"&amp;(YEAR(A440)+IF(MONTH(A440)&gt;=7,1,0)))</f>
        <v/>
      </c>
      <c r="I440" s="26" t="n"/>
    </row>
    <row r="441">
      <c r="A441" s="25" t="n"/>
      <c r="B441" s="26" t="n"/>
      <c r="C441" s="28" t="n"/>
      <c r="D441" s="31" t="n"/>
      <c r="E441" s="29">
        <f>IF(C441="","",C441*N(D441)*30/70)</f>
        <v/>
      </c>
      <c r="F441" s="26" t="n"/>
      <c r="G441" s="26" t="n"/>
      <c r="H441" s="32">
        <f>IF(A441="","","FY"&amp;(YEAR(A441)+IF(MONTH(A441)&gt;=7,1,0)))</f>
        <v/>
      </c>
      <c r="I441" s="26" t="n"/>
    </row>
    <row r="442">
      <c r="A442" s="25" t="n"/>
      <c r="B442" s="26" t="n"/>
      <c r="C442" s="28" t="n"/>
      <c r="D442" s="31" t="n"/>
      <c r="E442" s="29">
        <f>IF(C442="","",C442*N(D442)*30/70)</f>
        <v/>
      </c>
      <c r="F442" s="26" t="n"/>
      <c r="G442" s="26" t="n"/>
      <c r="H442" s="32">
        <f>IF(A442="","","FY"&amp;(YEAR(A442)+IF(MONTH(A442)&gt;=7,1,0)))</f>
        <v/>
      </c>
      <c r="I442" s="26" t="n"/>
    </row>
    <row r="443">
      <c r="A443" s="25" t="n"/>
      <c r="B443" s="26" t="n"/>
      <c r="C443" s="28" t="n"/>
      <c r="D443" s="31" t="n"/>
      <c r="E443" s="29">
        <f>IF(C443="","",C443*N(D443)*30/70)</f>
        <v/>
      </c>
      <c r="F443" s="26" t="n"/>
      <c r="G443" s="26" t="n"/>
      <c r="H443" s="32">
        <f>IF(A443="","","FY"&amp;(YEAR(A443)+IF(MONTH(A443)&gt;=7,1,0)))</f>
        <v/>
      </c>
      <c r="I443" s="26" t="n"/>
    </row>
    <row r="444">
      <c r="A444" s="25" t="n"/>
      <c r="B444" s="26" t="n"/>
      <c r="C444" s="28" t="n"/>
      <c r="D444" s="31" t="n"/>
      <c r="E444" s="29">
        <f>IF(C444="","",C444*N(D444)*30/70)</f>
        <v/>
      </c>
      <c r="F444" s="26" t="n"/>
      <c r="G444" s="26" t="n"/>
      <c r="H444" s="32">
        <f>IF(A444="","","FY"&amp;(YEAR(A444)+IF(MONTH(A444)&gt;=7,1,0)))</f>
        <v/>
      </c>
      <c r="I444" s="26" t="n"/>
    </row>
    <row r="445">
      <c r="A445" s="25" t="n"/>
      <c r="B445" s="26" t="n"/>
      <c r="C445" s="28" t="n"/>
      <c r="D445" s="31" t="n"/>
      <c r="E445" s="29">
        <f>IF(C445="","",C445*N(D445)*30/70)</f>
        <v/>
      </c>
      <c r="F445" s="26" t="n"/>
      <c r="G445" s="26" t="n"/>
      <c r="H445" s="32">
        <f>IF(A445="","","FY"&amp;(YEAR(A445)+IF(MONTH(A445)&gt;=7,1,0)))</f>
        <v/>
      </c>
      <c r="I445" s="26" t="n"/>
    </row>
    <row r="446">
      <c r="A446" s="25" t="n"/>
      <c r="B446" s="26" t="n"/>
      <c r="C446" s="28" t="n"/>
      <c r="D446" s="31" t="n"/>
      <c r="E446" s="29">
        <f>IF(C446="","",C446*N(D446)*30/70)</f>
        <v/>
      </c>
      <c r="F446" s="26" t="n"/>
      <c r="G446" s="26" t="n"/>
      <c r="H446" s="32">
        <f>IF(A446="","","FY"&amp;(YEAR(A446)+IF(MONTH(A446)&gt;=7,1,0)))</f>
        <v/>
      </c>
      <c r="I446" s="26" t="n"/>
    </row>
    <row r="447">
      <c r="A447" s="25" t="n"/>
      <c r="B447" s="26" t="n"/>
      <c r="C447" s="28" t="n"/>
      <c r="D447" s="31" t="n"/>
      <c r="E447" s="29">
        <f>IF(C447="","",C447*N(D447)*30/70)</f>
        <v/>
      </c>
      <c r="F447" s="26" t="n"/>
      <c r="G447" s="26" t="n"/>
      <c r="H447" s="32">
        <f>IF(A447="","","FY"&amp;(YEAR(A447)+IF(MONTH(A447)&gt;=7,1,0)))</f>
        <v/>
      </c>
      <c r="I447" s="26" t="n"/>
    </row>
    <row r="448">
      <c r="A448" s="25" t="n"/>
      <c r="B448" s="26" t="n"/>
      <c r="C448" s="28" t="n"/>
      <c r="D448" s="31" t="n"/>
      <c r="E448" s="29">
        <f>IF(C448="","",C448*N(D448)*30/70)</f>
        <v/>
      </c>
      <c r="F448" s="26" t="n"/>
      <c r="G448" s="26" t="n"/>
      <c r="H448" s="32">
        <f>IF(A448="","","FY"&amp;(YEAR(A448)+IF(MONTH(A448)&gt;=7,1,0)))</f>
        <v/>
      </c>
      <c r="I448" s="26" t="n"/>
    </row>
    <row r="449">
      <c r="A449" s="25" t="n"/>
      <c r="B449" s="26" t="n"/>
      <c r="C449" s="28" t="n"/>
      <c r="D449" s="31" t="n"/>
      <c r="E449" s="29">
        <f>IF(C449="","",C449*N(D449)*30/70)</f>
        <v/>
      </c>
      <c r="F449" s="26" t="n"/>
      <c r="G449" s="26" t="n"/>
      <c r="H449" s="32">
        <f>IF(A449="","","FY"&amp;(YEAR(A449)+IF(MONTH(A449)&gt;=7,1,0)))</f>
        <v/>
      </c>
      <c r="I449" s="26" t="n"/>
    </row>
    <row r="450">
      <c r="A450" s="25" t="n"/>
      <c r="B450" s="26" t="n"/>
      <c r="C450" s="28" t="n"/>
      <c r="D450" s="31" t="n"/>
      <c r="E450" s="29">
        <f>IF(C450="","",C450*N(D450)*30/70)</f>
        <v/>
      </c>
      <c r="F450" s="26" t="n"/>
      <c r="G450" s="26" t="n"/>
      <c r="H450" s="32">
        <f>IF(A450="","","FY"&amp;(YEAR(A450)+IF(MONTH(A450)&gt;=7,1,0)))</f>
        <v/>
      </c>
      <c r="I450" s="26" t="n"/>
    </row>
    <row r="451">
      <c r="A451" s="25" t="n"/>
      <c r="B451" s="26" t="n"/>
      <c r="C451" s="28" t="n"/>
      <c r="D451" s="31" t="n"/>
      <c r="E451" s="29">
        <f>IF(C451="","",C451*N(D451)*30/70)</f>
        <v/>
      </c>
      <c r="F451" s="26" t="n"/>
      <c r="G451" s="26" t="n"/>
      <c r="H451" s="32">
        <f>IF(A451="","","FY"&amp;(YEAR(A451)+IF(MONTH(A451)&gt;=7,1,0)))</f>
        <v/>
      </c>
      <c r="I451" s="26" t="n"/>
    </row>
    <row r="452">
      <c r="A452" s="25" t="n"/>
      <c r="B452" s="26" t="n"/>
      <c r="C452" s="28" t="n"/>
      <c r="D452" s="31" t="n"/>
      <c r="E452" s="29">
        <f>IF(C452="","",C452*N(D452)*30/70)</f>
        <v/>
      </c>
      <c r="F452" s="26" t="n"/>
      <c r="G452" s="26" t="n"/>
      <c r="H452" s="32">
        <f>IF(A452="","","FY"&amp;(YEAR(A452)+IF(MONTH(A452)&gt;=7,1,0)))</f>
        <v/>
      </c>
      <c r="I452" s="26" t="n"/>
    </row>
    <row r="453">
      <c r="A453" s="25" t="n"/>
      <c r="B453" s="26" t="n"/>
      <c r="C453" s="28" t="n"/>
      <c r="D453" s="31" t="n"/>
      <c r="E453" s="29">
        <f>IF(C453="","",C453*N(D453)*30/70)</f>
        <v/>
      </c>
      <c r="F453" s="26" t="n"/>
      <c r="G453" s="26" t="n"/>
      <c r="H453" s="32">
        <f>IF(A453="","","FY"&amp;(YEAR(A453)+IF(MONTH(A453)&gt;=7,1,0)))</f>
        <v/>
      </c>
      <c r="I453" s="26" t="n"/>
    </row>
    <row r="454">
      <c r="A454" s="25" t="n"/>
      <c r="B454" s="26" t="n"/>
      <c r="C454" s="28" t="n"/>
      <c r="D454" s="31" t="n"/>
      <c r="E454" s="29">
        <f>IF(C454="","",C454*N(D454)*30/70)</f>
        <v/>
      </c>
      <c r="F454" s="26" t="n"/>
      <c r="G454" s="26" t="n"/>
      <c r="H454" s="32">
        <f>IF(A454="","","FY"&amp;(YEAR(A454)+IF(MONTH(A454)&gt;=7,1,0)))</f>
        <v/>
      </c>
      <c r="I454" s="26" t="n"/>
    </row>
    <row r="455">
      <c r="A455" s="25" t="n"/>
      <c r="B455" s="26" t="n"/>
      <c r="C455" s="28" t="n"/>
      <c r="D455" s="31" t="n"/>
      <c r="E455" s="29">
        <f>IF(C455="","",C455*N(D455)*30/70)</f>
        <v/>
      </c>
      <c r="F455" s="26" t="n"/>
      <c r="G455" s="26" t="n"/>
      <c r="H455" s="32">
        <f>IF(A455="","","FY"&amp;(YEAR(A455)+IF(MONTH(A455)&gt;=7,1,0)))</f>
        <v/>
      </c>
      <c r="I455" s="26" t="n"/>
    </row>
    <row r="456">
      <c r="A456" s="25" t="n"/>
      <c r="B456" s="26" t="n"/>
      <c r="C456" s="28" t="n"/>
      <c r="D456" s="31" t="n"/>
      <c r="E456" s="29">
        <f>IF(C456="","",C456*N(D456)*30/70)</f>
        <v/>
      </c>
      <c r="F456" s="26" t="n"/>
      <c r="G456" s="26" t="n"/>
      <c r="H456" s="32">
        <f>IF(A456="","","FY"&amp;(YEAR(A456)+IF(MONTH(A456)&gt;=7,1,0)))</f>
        <v/>
      </c>
      <c r="I456" s="26" t="n"/>
    </row>
    <row r="457">
      <c r="A457" s="25" t="n"/>
      <c r="B457" s="26" t="n"/>
      <c r="C457" s="28" t="n"/>
      <c r="D457" s="31" t="n"/>
      <c r="E457" s="29">
        <f>IF(C457="","",C457*N(D457)*30/70)</f>
        <v/>
      </c>
      <c r="F457" s="26" t="n"/>
      <c r="G457" s="26" t="n"/>
      <c r="H457" s="32">
        <f>IF(A457="","","FY"&amp;(YEAR(A457)+IF(MONTH(A457)&gt;=7,1,0)))</f>
        <v/>
      </c>
      <c r="I457" s="26" t="n"/>
    </row>
    <row r="458">
      <c r="A458" s="25" t="n"/>
      <c r="B458" s="26" t="n"/>
      <c r="C458" s="28" t="n"/>
      <c r="D458" s="31" t="n"/>
      <c r="E458" s="29">
        <f>IF(C458="","",C458*N(D458)*30/70)</f>
        <v/>
      </c>
      <c r="F458" s="26" t="n"/>
      <c r="G458" s="26" t="n"/>
      <c r="H458" s="32">
        <f>IF(A458="","","FY"&amp;(YEAR(A458)+IF(MONTH(A458)&gt;=7,1,0)))</f>
        <v/>
      </c>
      <c r="I458" s="26" t="n"/>
    </row>
    <row r="459">
      <c r="A459" s="25" t="n"/>
      <c r="B459" s="26" t="n"/>
      <c r="C459" s="28" t="n"/>
      <c r="D459" s="31" t="n"/>
      <c r="E459" s="29">
        <f>IF(C459="","",C459*N(D459)*30/70)</f>
        <v/>
      </c>
      <c r="F459" s="26" t="n"/>
      <c r="G459" s="26" t="n"/>
      <c r="H459" s="32">
        <f>IF(A459="","","FY"&amp;(YEAR(A459)+IF(MONTH(A459)&gt;=7,1,0)))</f>
        <v/>
      </c>
      <c r="I459" s="26" t="n"/>
    </row>
    <row r="460">
      <c r="A460" s="25" t="n"/>
      <c r="B460" s="26" t="n"/>
      <c r="C460" s="28" t="n"/>
      <c r="D460" s="31" t="n"/>
      <c r="E460" s="29">
        <f>IF(C460="","",C460*N(D460)*30/70)</f>
        <v/>
      </c>
      <c r="F460" s="26" t="n"/>
      <c r="G460" s="26" t="n"/>
      <c r="H460" s="32">
        <f>IF(A460="","","FY"&amp;(YEAR(A460)+IF(MONTH(A460)&gt;=7,1,0)))</f>
        <v/>
      </c>
      <c r="I460" s="26" t="n"/>
    </row>
    <row r="461">
      <c r="A461" s="25" t="n"/>
      <c r="B461" s="26" t="n"/>
      <c r="C461" s="28" t="n"/>
      <c r="D461" s="31" t="n"/>
      <c r="E461" s="29">
        <f>IF(C461="","",C461*N(D461)*30/70)</f>
        <v/>
      </c>
      <c r="F461" s="26" t="n"/>
      <c r="G461" s="26" t="n"/>
      <c r="H461" s="32">
        <f>IF(A461="","","FY"&amp;(YEAR(A461)+IF(MONTH(A461)&gt;=7,1,0)))</f>
        <v/>
      </c>
      <c r="I461" s="26" t="n"/>
    </row>
    <row r="462">
      <c r="A462" s="25" t="n"/>
      <c r="B462" s="26" t="n"/>
      <c r="C462" s="28" t="n"/>
      <c r="D462" s="31" t="n"/>
      <c r="E462" s="29">
        <f>IF(C462="","",C462*N(D462)*30/70)</f>
        <v/>
      </c>
      <c r="F462" s="26" t="n"/>
      <c r="G462" s="26" t="n"/>
      <c r="H462" s="32">
        <f>IF(A462="","","FY"&amp;(YEAR(A462)+IF(MONTH(A462)&gt;=7,1,0)))</f>
        <v/>
      </c>
      <c r="I462" s="26" t="n"/>
    </row>
    <row r="463">
      <c r="A463" s="25" t="n"/>
      <c r="B463" s="26" t="n"/>
      <c r="C463" s="28" t="n"/>
      <c r="D463" s="31" t="n"/>
      <c r="E463" s="29">
        <f>IF(C463="","",C463*N(D463)*30/70)</f>
        <v/>
      </c>
      <c r="F463" s="26" t="n"/>
      <c r="G463" s="26" t="n"/>
      <c r="H463" s="32">
        <f>IF(A463="","","FY"&amp;(YEAR(A463)+IF(MONTH(A463)&gt;=7,1,0)))</f>
        <v/>
      </c>
      <c r="I463" s="26" t="n"/>
    </row>
    <row r="464">
      <c r="A464" s="25" t="n"/>
      <c r="B464" s="26" t="n"/>
      <c r="C464" s="28" t="n"/>
      <c r="D464" s="31" t="n"/>
      <c r="E464" s="29">
        <f>IF(C464="","",C464*N(D464)*30/70)</f>
        <v/>
      </c>
      <c r="F464" s="26" t="n"/>
      <c r="G464" s="26" t="n"/>
      <c r="H464" s="32">
        <f>IF(A464="","","FY"&amp;(YEAR(A464)+IF(MONTH(A464)&gt;=7,1,0)))</f>
        <v/>
      </c>
      <c r="I464" s="26" t="n"/>
    </row>
    <row r="465">
      <c r="A465" s="25" t="n"/>
      <c r="B465" s="26" t="n"/>
      <c r="C465" s="28" t="n"/>
      <c r="D465" s="31" t="n"/>
      <c r="E465" s="29">
        <f>IF(C465="","",C465*N(D465)*30/70)</f>
        <v/>
      </c>
      <c r="F465" s="26" t="n"/>
      <c r="G465" s="26" t="n"/>
      <c r="H465" s="32">
        <f>IF(A465="","","FY"&amp;(YEAR(A465)+IF(MONTH(A465)&gt;=7,1,0)))</f>
        <v/>
      </c>
      <c r="I465" s="26" t="n"/>
    </row>
    <row r="466">
      <c r="A466" s="25" t="n"/>
      <c r="B466" s="26" t="n"/>
      <c r="C466" s="28" t="n"/>
      <c r="D466" s="31" t="n"/>
      <c r="E466" s="29">
        <f>IF(C466="","",C466*N(D466)*30/70)</f>
        <v/>
      </c>
      <c r="F466" s="26" t="n"/>
      <c r="G466" s="26" t="n"/>
      <c r="H466" s="32">
        <f>IF(A466="","","FY"&amp;(YEAR(A466)+IF(MONTH(A466)&gt;=7,1,0)))</f>
        <v/>
      </c>
      <c r="I466" s="26" t="n"/>
    </row>
    <row r="467">
      <c r="A467" s="25" t="n"/>
      <c r="B467" s="26" t="n"/>
      <c r="C467" s="28" t="n"/>
      <c r="D467" s="31" t="n"/>
      <c r="E467" s="29">
        <f>IF(C467="","",C467*N(D467)*30/70)</f>
        <v/>
      </c>
      <c r="F467" s="26" t="n"/>
      <c r="G467" s="26" t="n"/>
      <c r="H467" s="32">
        <f>IF(A467="","","FY"&amp;(YEAR(A467)+IF(MONTH(A467)&gt;=7,1,0)))</f>
        <v/>
      </c>
      <c r="I467" s="26" t="n"/>
    </row>
    <row r="468">
      <c r="A468" s="25" t="n"/>
      <c r="B468" s="26" t="n"/>
      <c r="C468" s="28" t="n"/>
      <c r="D468" s="31" t="n"/>
      <c r="E468" s="29">
        <f>IF(C468="","",C468*N(D468)*30/70)</f>
        <v/>
      </c>
      <c r="F468" s="26" t="n"/>
      <c r="G468" s="26" t="n"/>
      <c r="H468" s="32">
        <f>IF(A468="","","FY"&amp;(YEAR(A468)+IF(MONTH(A468)&gt;=7,1,0)))</f>
        <v/>
      </c>
      <c r="I468" s="26" t="n"/>
    </row>
    <row r="469">
      <c r="A469" s="25" t="n"/>
      <c r="B469" s="26" t="n"/>
      <c r="C469" s="28" t="n"/>
      <c r="D469" s="31" t="n"/>
      <c r="E469" s="29">
        <f>IF(C469="","",C469*N(D469)*30/70)</f>
        <v/>
      </c>
      <c r="F469" s="26" t="n"/>
      <c r="G469" s="26" t="n"/>
      <c r="H469" s="32">
        <f>IF(A469="","","FY"&amp;(YEAR(A469)+IF(MONTH(A469)&gt;=7,1,0)))</f>
        <v/>
      </c>
      <c r="I469" s="26" t="n"/>
    </row>
    <row r="470">
      <c r="A470" s="25" t="n"/>
      <c r="B470" s="26" t="n"/>
      <c r="C470" s="28" t="n"/>
      <c r="D470" s="31" t="n"/>
      <c r="E470" s="29">
        <f>IF(C470="","",C470*N(D470)*30/70)</f>
        <v/>
      </c>
      <c r="F470" s="26" t="n"/>
      <c r="G470" s="26" t="n"/>
      <c r="H470" s="32">
        <f>IF(A470="","","FY"&amp;(YEAR(A470)+IF(MONTH(A470)&gt;=7,1,0)))</f>
        <v/>
      </c>
      <c r="I470" s="26" t="n"/>
    </row>
    <row r="471">
      <c r="A471" s="25" t="n"/>
      <c r="B471" s="26" t="n"/>
      <c r="C471" s="28" t="n"/>
      <c r="D471" s="31" t="n"/>
      <c r="E471" s="29">
        <f>IF(C471="","",C471*N(D471)*30/70)</f>
        <v/>
      </c>
      <c r="F471" s="26" t="n"/>
      <c r="G471" s="26" t="n"/>
      <c r="H471" s="32">
        <f>IF(A471="","","FY"&amp;(YEAR(A471)+IF(MONTH(A471)&gt;=7,1,0)))</f>
        <v/>
      </c>
      <c r="I471" s="26" t="n"/>
    </row>
    <row r="472">
      <c r="A472" s="25" t="n"/>
      <c r="B472" s="26" t="n"/>
      <c r="C472" s="28" t="n"/>
      <c r="D472" s="31" t="n"/>
      <c r="E472" s="29">
        <f>IF(C472="","",C472*N(D472)*30/70)</f>
        <v/>
      </c>
      <c r="F472" s="26" t="n"/>
      <c r="G472" s="26" t="n"/>
      <c r="H472" s="32">
        <f>IF(A472="","","FY"&amp;(YEAR(A472)+IF(MONTH(A472)&gt;=7,1,0)))</f>
        <v/>
      </c>
      <c r="I472" s="26" t="n"/>
    </row>
    <row r="473">
      <c r="A473" s="25" t="n"/>
      <c r="B473" s="26" t="n"/>
      <c r="C473" s="28" t="n"/>
      <c r="D473" s="31" t="n"/>
      <c r="E473" s="29">
        <f>IF(C473="","",C473*N(D473)*30/70)</f>
        <v/>
      </c>
      <c r="F473" s="26" t="n"/>
      <c r="G473" s="26" t="n"/>
      <c r="H473" s="32">
        <f>IF(A473="","","FY"&amp;(YEAR(A473)+IF(MONTH(A473)&gt;=7,1,0)))</f>
        <v/>
      </c>
      <c r="I473" s="26" t="n"/>
    </row>
    <row r="474">
      <c r="A474" s="25" t="n"/>
      <c r="B474" s="26" t="n"/>
      <c r="C474" s="28" t="n"/>
      <c r="D474" s="31" t="n"/>
      <c r="E474" s="29">
        <f>IF(C474="","",C474*N(D474)*30/70)</f>
        <v/>
      </c>
      <c r="F474" s="26" t="n"/>
      <c r="G474" s="26" t="n"/>
      <c r="H474" s="32">
        <f>IF(A474="","","FY"&amp;(YEAR(A474)+IF(MONTH(A474)&gt;=7,1,0)))</f>
        <v/>
      </c>
      <c r="I474" s="26" t="n"/>
    </row>
    <row r="475">
      <c r="A475" s="25" t="n"/>
      <c r="B475" s="26" t="n"/>
      <c r="C475" s="28" t="n"/>
      <c r="D475" s="31" t="n"/>
      <c r="E475" s="29">
        <f>IF(C475="","",C475*N(D475)*30/70)</f>
        <v/>
      </c>
      <c r="F475" s="26" t="n"/>
      <c r="G475" s="26" t="n"/>
      <c r="H475" s="32">
        <f>IF(A475="","","FY"&amp;(YEAR(A475)+IF(MONTH(A475)&gt;=7,1,0)))</f>
        <v/>
      </c>
      <c r="I475" s="26" t="n"/>
    </row>
    <row r="476">
      <c r="A476" s="25" t="n"/>
      <c r="B476" s="26" t="n"/>
      <c r="C476" s="28" t="n"/>
      <c r="D476" s="31" t="n"/>
      <c r="E476" s="29">
        <f>IF(C476="","",C476*N(D476)*30/70)</f>
        <v/>
      </c>
      <c r="F476" s="26" t="n"/>
      <c r="G476" s="26" t="n"/>
      <c r="H476" s="32">
        <f>IF(A476="","","FY"&amp;(YEAR(A476)+IF(MONTH(A476)&gt;=7,1,0)))</f>
        <v/>
      </c>
      <c r="I476" s="26" t="n"/>
    </row>
    <row r="477">
      <c r="A477" s="25" t="n"/>
      <c r="B477" s="26" t="n"/>
      <c r="C477" s="28" t="n"/>
      <c r="D477" s="31" t="n"/>
      <c r="E477" s="29">
        <f>IF(C477="","",C477*N(D477)*30/70)</f>
        <v/>
      </c>
      <c r="F477" s="26" t="n"/>
      <c r="G477" s="26" t="n"/>
      <c r="H477" s="32">
        <f>IF(A477="","","FY"&amp;(YEAR(A477)+IF(MONTH(A477)&gt;=7,1,0)))</f>
        <v/>
      </c>
      <c r="I477" s="26" t="n"/>
    </row>
    <row r="478">
      <c r="A478" s="25" t="n"/>
      <c r="B478" s="26" t="n"/>
      <c r="C478" s="28" t="n"/>
      <c r="D478" s="31" t="n"/>
      <c r="E478" s="29">
        <f>IF(C478="","",C478*N(D478)*30/70)</f>
        <v/>
      </c>
      <c r="F478" s="26" t="n"/>
      <c r="G478" s="26" t="n"/>
      <c r="H478" s="32">
        <f>IF(A478="","","FY"&amp;(YEAR(A478)+IF(MONTH(A478)&gt;=7,1,0)))</f>
        <v/>
      </c>
      <c r="I478" s="26" t="n"/>
    </row>
    <row r="479">
      <c r="A479" s="25" t="n"/>
      <c r="B479" s="26" t="n"/>
      <c r="C479" s="28" t="n"/>
      <c r="D479" s="31" t="n"/>
      <c r="E479" s="29">
        <f>IF(C479="","",C479*N(D479)*30/70)</f>
        <v/>
      </c>
      <c r="F479" s="26" t="n"/>
      <c r="G479" s="26" t="n"/>
      <c r="H479" s="32">
        <f>IF(A479="","","FY"&amp;(YEAR(A479)+IF(MONTH(A479)&gt;=7,1,0)))</f>
        <v/>
      </c>
      <c r="I479" s="26" t="n"/>
    </row>
    <row r="480">
      <c r="A480" s="25" t="n"/>
      <c r="B480" s="26" t="n"/>
      <c r="C480" s="28" t="n"/>
      <c r="D480" s="31" t="n"/>
      <c r="E480" s="29">
        <f>IF(C480="","",C480*N(D480)*30/70)</f>
        <v/>
      </c>
      <c r="F480" s="26" t="n"/>
      <c r="G480" s="26" t="n"/>
      <c r="H480" s="32">
        <f>IF(A480="","","FY"&amp;(YEAR(A480)+IF(MONTH(A480)&gt;=7,1,0)))</f>
        <v/>
      </c>
      <c r="I480" s="26" t="n"/>
    </row>
    <row r="481">
      <c r="A481" s="25" t="n"/>
      <c r="B481" s="26" t="n"/>
      <c r="C481" s="28" t="n"/>
      <c r="D481" s="31" t="n"/>
      <c r="E481" s="29">
        <f>IF(C481="","",C481*N(D481)*30/70)</f>
        <v/>
      </c>
      <c r="F481" s="26" t="n"/>
      <c r="G481" s="26" t="n"/>
      <c r="H481" s="32">
        <f>IF(A481="","","FY"&amp;(YEAR(A481)+IF(MONTH(A481)&gt;=7,1,0)))</f>
        <v/>
      </c>
      <c r="I481" s="26" t="n"/>
    </row>
    <row r="482">
      <c r="A482" s="25" t="n"/>
      <c r="B482" s="26" t="n"/>
      <c r="C482" s="28" t="n"/>
      <c r="D482" s="31" t="n"/>
      <c r="E482" s="29">
        <f>IF(C482="","",C482*N(D482)*30/70)</f>
        <v/>
      </c>
      <c r="F482" s="26" t="n"/>
      <c r="G482" s="26" t="n"/>
      <c r="H482" s="32">
        <f>IF(A482="","","FY"&amp;(YEAR(A482)+IF(MONTH(A482)&gt;=7,1,0)))</f>
        <v/>
      </c>
      <c r="I482" s="26" t="n"/>
    </row>
    <row r="483">
      <c r="A483" s="25" t="n"/>
      <c r="B483" s="26" t="n"/>
      <c r="C483" s="28" t="n"/>
      <c r="D483" s="31" t="n"/>
      <c r="E483" s="29">
        <f>IF(C483="","",C483*N(D483)*30/70)</f>
        <v/>
      </c>
      <c r="F483" s="26" t="n"/>
      <c r="G483" s="26" t="n"/>
      <c r="H483" s="32">
        <f>IF(A483="","","FY"&amp;(YEAR(A483)+IF(MONTH(A483)&gt;=7,1,0)))</f>
        <v/>
      </c>
      <c r="I483" s="26" t="n"/>
    </row>
    <row r="484">
      <c r="A484" s="25" t="n"/>
      <c r="B484" s="26" t="n"/>
      <c r="C484" s="28" t="n"/>
      <c r="D484" s="31" t="n"/>
      <c r="E484" s="29">
        <f>IF(C484="","",C484*N(D484)*30/70)</f>
        <v/>
      </c>
      <c r="F484" s="26" t="n"/>
      <c r="G484" s="26" t="n"/>
      <c r="H484" s="32">
        <f>IF(A484="","","FY"&amp;(YEAR(A484)+IF(MONTH(A484)&gt;=7,1,0)))</f>
        <v/>
      </c>
      <c r="I484" s="26" t="n"/>
    </row>
    <row r="485">
      <c r="A485" s="25" t="n"/>
      <c r="B485" s="26" t="n"/>
      <c r="C485" s="28" t="n"/>
      <c r="D485" s="31" t="n"/>
      <c r="E485" s="29">
        <f>IF(C485="","",C485*N(D485)*30/70)</f>
        <v/>
      </c>
      <c r="F485" s="26" t="n"/>
      <c r="G485" s="26" t="n"/>
      <c r="H485" s="32">
        <f>IF(A485="","","FY"&amp;(YEAR(A485)+IF(MONTH(A485)&gt;=7,1,0)))</f>
        <v/>
      </c>
      <c r="I485" s="26" t="n"/>
    </row>
    <row r="486">
      <c r="A486" s="25" t="n"/>
      <c r="B486" s="26" t="n"/>
      <c r="C486" s="28" t="n"/>
      <c r="D486" s="31" t="n"/>
      <c r="E486" s="29">
        <f>IF(C486="","",C486*N(D486)*30/70)</f>
        <v/>
      </c>
      <c r="F486" s="26" t="n"/>
      <c r="G486" s="26" t="n"/>
      <c r="H486" s="32">
        <f>IF(A486="","","FY"&amp;(YEAR(A486)+IF(MONTH(A486)&gt;=7,1,0)))</f>
        <v/>
      </c>
      <c r="I486" s="26" t="n"/>
    </row>
    <row r="487">
      <c r="A487" s="25" t="n"/>
      <c r="B487" s="26" t="n"/>
      <c r="C487" s="28" t="n"/>
      <c r="D487" s="31" t="n"/>
      <c r="E487" s="29">
        <f>IF(C487="","",C487*N(D487)*30/70)</f>
        <v/>
      </c>
      <c r="F487" s="26" t="n"/>
      <c r="G487" s="26" t="n"/>
      <c r="H487" s="32">
        <f>IF(A487="","","FY"&amp;(YEAR(A487)+IF(MONTH(A487)&gt;=7,1,0)))</f>
        <v/>
      </c>
      <c r="I487" s="26" t="n"/>
    </row>
    <row r="488">
      <c r="A488" s="25" t="n"/>
      <c r="B488" s="26" t="n"/>
      <c r="C488" s="28" t="n"/>
      <c r="D488" s="31" t="n"/>
      <c r="E488" s="29">
        <f>IF(C488="","",C488*N(D488)*30/70)</f>
        <v/>
      </c>
      <c r="F488" s="26" t="n"/>
      <c r="G488" s="26" t="n"/>
      <c r="H488" s="32">
        <f>IF(A488="","","FY"&amp;(YEAR(A488)+IF(MONTH(A488)&gt;=7,1,0)))</f>
        <v/>
      </c>
      <c r="I488" s="26" t="n"/>
    </row>
    <row r="489">
      <c r="A489" s="25" t="n"/>
      <c r="B489" s="26" t="n"/>
      <c r="C489" s="28" t="n"/>
      <c r="D489" s="31" t="n"/>
      <c r="E489" s="29">
        <f>IF(C489="","",C489*N(D489)*30/70)</f>
        <v/>
      </c>
      <c r="F489" s="26" t="n"/>
      <c r="G489" s="26" t="n"/>
      <c r="H489" s="32">
        <f>IF(A489="","","FY"&amp;(YEAR(A489)+IF(MONTH(A489)&gt;=7,1,0)))</f>
        <v/>
      </c>
      <c r="I489" s="26" t="n"/>
    </row>
    <row r="490">
      <c r="A490" s="25" t="n"/>
      <c r="B490" s="26" t="n"/>
      <c r="C490" s="28" t="n"/>
      <c r="D490" s="31" t="n"/>
      <c r="E490" s="29">
        <f>IF(C490="","",C490*N(D490)*30/70)</f>
        <v/>
      </c>
      <c r="F490" s="26" t="n"/>
      <c r="G490" s="26" t="n"/>
      <c r="H490" s="32">
        <f>IF(A490="","","FY"&amp;(YEAR(A490)+IF(MONTH(A490)&gt;=7,1,0)))</f>
        <v/>
      </c>
      <c r="I490" s="26" t="n"/>
    </row>
    <row r="491">
      <c r="A491" s="25" t="n"/>
      <c r="B491" s="26" t="n"/>
      <c r="C491" s="28" t="n"/>
      <c r="D491" s="31" t="n"/>
      <c r="E491" s="29">
        <f>IF(C491="","",C491*N(D491)*30/70)</f>
        <v/>
      </c>
      <c r="F491" s="26" t="n"/>
      <c r="G491" s="26" t="n"/>
      <c r="H491" s="32">
        <f>IF(A491="","","FY"&amp;(YEAR(A491)+IF(MONTH(A491)&gt;=7,1,0)))</f>
        <v/>
      </c>
      <c r="I491" s="26" t="n"/>
    </row>
    <row r="492">
      <c r="A492" s="25" t="n"/>
      <c r="B492" s="26" t="n"/>
      <c r="C492" s="28" t="n"/>
      <c r="D492" s="31" t="n"/>
      <c r="E492" s="29">
        <f>IF(C492="","",C492*N(D492)*30/70)</f>
        <v/>
      </c>
      <c r="F492" s="26" t="n"/>
      <c r="G492" s="26" t="n"/>
      <c r="H492" s="32">
        <f>IF(A492="","","FY"&amp;(YEAR(A492)+IF(MONTH(A492)&gt;=7,1,0)))</f>
        <v/>
      </c>
      <c r="I492" s="26" t="n"/>
    </row>
    <row r="493">
      <c r="A493" s="25" t="n"/>
      <c r="B493" s="26" t="n"/>
      <c r="C493" s="28" t="n"/>
      <c r="D493" s="31" t="n"/>
      <c r="E493" s="29">
        <f>IF(C493="","",C493*N(D493)*30/70)</f>
        <v/>
      </c>
      <c r="F493" s="26" t="n"/>
      <c r="G493" s="26" t="n"/>
      <c r="H493" s="32">
        <f>IF(A493="","","FY"&amp;(YEAR(A493)+IF(MONTH(A493)&gt;=7,1,0)))</f>
        <v/>
      </c>
      <c r="I493" s="26" t="n"/>
    </row>
    <row r="494">
      <c r="A494" s="25" t="n"/>
      <c r="B494" s="26" t="n"/>
      <c r="C494" s="28" t="n"/>
      <c r="D494" s="31" t="n"/>
      <c r="E494" s="29">
        <f>IF(C494="","",C494*N(D494)*30/70)</f>
        <v/>
      </c>
      <c r="F494" s="26" t="n"/>
      <c r="G494" s="26" t="n"/>
      <c r="H494" s="32">
        <f>IF(A494="","","FY"&amp;(YEAR(A494)+IF(MONTH(A494)&gt;=7,1,0)))</f>
        <v/>
      </c>
      <c r="I494" s="26" t="n"/>
    </row>
    <row r="495">
      <c r="A495" s="25" t="n"/>
      <c r="B495" s="26" t="n"/>
      <c r="C495" s="28" t="n"/>
      <c r="D495" s="31" t="n"/>
      <c r="E495" s="29">
        <f>IF(C495="","",C495*N(D495)*30/70)</f>
        <v/>
      </c>
      <c r="F495" s="26" t="n"/>
      <c r="G495" s="26" t="n"/>
      <c r="H495" s="32">
        <f>IF(A495="","","FY"&amp;(YEAR(A495)+IF(MONTH(A495)&gt;=7,1,0)))</f>
        <v/>
      </c>
      <c r="I495" s="26" t="n"/>
    </row>
    <row r="496">
      <c r="A496" s="25" t="n"/>
      <c r="B496" s="26" t="n"/>
      <c r="C496" s="28" t="n"/>
      <c r="D496" s="31" t="n"/>
      <c r="E496" s="29">
        <f>IF(C496="","",C496*N(D496)*30/70)</f>
        <v/>
      </c>
      <c r="F496" s="26" t="n"/>
      <c r="G496" s="26" t="n"/>
      <c r="H496" s="32">
        <f>IF(A496="","","FY"&amp;(YEAR(A496)+IF(MONTH(A496)&gt;=7,1,0)))</f>
        <v/>
      </c>
      <c r="I496" s="26" t="n"/>
    </row>
    <row r="497">
      <c r="A497" s="25" t="n"/>
      <c r="B497" s="26" t="n"/>
      <c r="C497" s="28" t="n"/>
      <c r="D497" s="31" t="n"/>
      <c r="E497" s="29">
        <f>IF(C497="","",C497*N(D497)*30/70)</f>
        <v/>
      </c>
      <c r="F497" s="26" t="n"/>
      <c r="G497" s="26" t="n"/>
      <c r="H497" s="32">
        <f>IF(A497="","","FY"&amp;(YEAR(A497)+IF(MONTH(A497)&gt;=7,1,0)))</f>
        <v/>
      </c>
      <c r="I497" s="26" t="n"/>
    </row>
    <row r="498">
      <c r="A498" s="25" t="n"/>
      <c r="B498" s="26" t="n"/>
      <c r="C498" s="28" t="n"/>
      <c r="D498" s="31" t="n"/>
      <c r="E498" s="29">
        <f>IF(C498="","",C498*N(D498)*30/70)</f>
        <v/>
      </c>
      <c r="F498" s="26" t="n"/>
      <c r="G498" s="26" t="n"/>
      <c r="H498" s="32">
        <f>IF(A498="","","FY"&amp;(YEAR(A498)+IF(MONTH(A498)&gt;=7,1,0)))</f>
        <v/>
      </c>
      <c r="I498" s="26" t="n"/>
    </row>
    <row r="499">
      <c r="A499" s="25" t="n"/>
      <c r="B499" s="26" t="n"/>
      <c r="C499" s="28" t="n"/>
      <c r="D499" s="31" t="n"/>
      <c r="E499" s="29">
        <f>IF(C499="","",C499*N(D499)*30/70)</f>
        <v/>
      </c>
      <c r="F499" s="26" t="n"/>
      <c r="G499" s="26" t="n"/>
      <c r="H499" s="32">
        <f>IF(A499="","","FY"&amp;(YEAR(A499)+IF(MONTH(A499)&gt;=7,1,0)))</f>
        <v/>
      </c>
      <c r="I499" s="26" t="n"/>
    </row>
    <row r="500">
      <c r="A500" s="25" t="n"/>
      <c r="B500" s="26" t="n"/>
      <c r="C500" s="28" t="n"/>
      <c r="D500" s="31" t="n"/>
      <c r="E500" s="29">
        <f>IF(C500="","",C500*N(D500)*30/70)</f>
        <v/>
      </c>
      <c r="F500" s="26" t="n"/>
      <c r="G500" s="26" t="n"/>
      <c r="H500" s="32">
        <f>IF(A500="","","FY"&amp;(YEAR(A500)+IF(MONTH(A500)&gt;=7,1,0)))</f>
        <v/>
      </c>
      <c r="I500" s="26" t="n"/>
    </row>
    <row r="501">
      <c r="A501" s="25" t="n"/>
      <c r="B501" s="26" t="n"/>
      <c r="C501" s="28" t="n"/>
      <c r="D501" s="31" t="n"/>
      <c r="E501" s="29">
        <f>IF(C501="","",C501*N(D501)*30/70)</f>
        <v/>
      </c>
      <c r="F501" s="26" t="n"/>
      <c r="G501" s="26" t="n"/>
      <c r="H501" s="32">
        <f>IF(A501="","","FY"&amp;(YEAR(A501)+IF(MONTH(A501)&gt;=7,1,0)))</f>
        <v/>
      </c>
      <c r="I501" s="26" t="n"/>
    </row>
    <row r="502">
      <c r="A502" s="25" t="n"/>
      <c r="B502" s="26" t="n"/>
      <c r="C502" s="28" t="n"/>
      <c r="D502" s="31" t="n"/>
      <c r="E502" s="29">
        <f>IF(C502="","",C502*N(D502)*30/70)</f>
        <v/>
      </c>
      <c r="F502" s="26" t="n"/>
      <c r="G502" s="26" t="n"/>
      <c r="H502" s="32">
        <f>IF(A502="","","FY"&amp;(YEAR(A502)+IF(MONTH(A502)&gt;=7,1,0)))</f>
        <v/>
      </c>
      <c r="I502" s="26" t="n"/>
    </row>
    <row r="503">
      <c r="A503" s="25" t="n"/>
      <c r="B503" s="26" t="n"/>
      <c r="C503" s="28" t="n"/>
      <c r="D503" s="31" t="n"/>
      <c r="E503" s="29">
        <f>IF(C503="","",C503*N(D503)*30/70)</f>
        <v/>
      </c>
      <c r="F503" s="26" t="n"/>
      <c r="G503" s="26" t="n"/>
      <c r="H503" s="32">
        <f>IF(A503="","","FY"&amp;(YEAR(A503)+IF(MONTH(A503)&gt;=7,1,0)))</f>
        <v/>
      </c>
      <c r="I503" s="26" t="n"/>
    </row>
    <row r="504">
      <c r="A504" s="25" t="n"/>
      <c r="B504" s="26" t="n"/>
      <c r="C504" s="28" t="n"/>
      <c r="D504" s="31" t="n"/>
      <c r="E504" s="29">
        <f>IF(C504="","",C504*N(D504)*30/70)</f>
        <v/>
      </c>
      <c r="F504" s="26" t="n"/>
      <c r="G504" s="26" t="n"/>
      <c r="H504" s="32">
        <f>IF(A504="","","FY"&amp;(YEAR(A504)+IF(MONTH(A504)&gt;=7,1,0)))</f>
        <v/>
      </c>
      <c r="I504" s="26" t="n"/>
    </row>
  </sheetData>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showDropDown="0" showInputMessage="0" showErrorMessage="0" allowBlank="1"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4"/>
  <sheetViews>
    <sheetView workbookViewId="0">
      <pane ySplit="4" topLeftCell="A5" activePane="bottomLeft" state="frozen"/>
      <selection pane="bottomLeft" activeCell="A1" sqref="A1"/>
    </sheetView>
  </sheetViews>
  <sheetFormatPr baseColWidth="8" defaultRowHeight="15"/>
  <cols>
    <col width="12" customWidth="1" min="1" max="1"/>
    <col width="16" customWidth="1" min="2" max="2"/>
    <col width="14" customWidth="1" min="3" max="3"/>
  </cols>
  <sheetData>
    <row r="1">
      <c r="A1" s="1" t="inlineStr">
        <is>
          <t>Latest prices</t>
        </is>
      </c>
    </row>
    <row r="2">
      <c r="A2" s="2" t="inlineStr">
        <is>
          <t>Update monthly. Ticker list should match Settings &gt; Target Mix.</t>
        </is>
      </c>
    </row>
    <row r="4">
      <c r="A4" s="24" t="inlineStr">
        <is>
          <t>Ticker</t>
        </is>
      </c>
      <c r="B4" s="24" t="inlineStr">
        <is>
          <t>Latest price ($)</t>
        </is>
      </c>
      <c r="C4" s="24" t="inlineStr">
        <is>
          <t>Price date</t>
        </is>
      </c>
    </row>
    <row r="5">
      <c r="A5" s="26" t="inlineStr">
        <is>
          <t>VDHG</t>
        </is>
      </c>
      <c r="B5" s="27" t="n"/>
      <c r="C5" s="25" t="n"/>
    </row>
    <row r="6">
      <c r="A6" s="26" t="n"/>
      <c r="B6" s="27" t="n"/>
      <c r="C6" s="25" t="n"/>
    </row>
    <row r="7">
      <c r="A7" s="26" t="n"/>
      <c r="B7" s="27" t="n"/>
      <c r="C7" s="25" t="n"/>
    </row>
    <row r="8">
      <c r="A8" s="26" t="n"/>
      <c r="B8" s="27" t="n"/>
      <c r="C8" s="25" t="n"/>
    </row>
    <row r="9">
      <c r="A9" s="26" t="n"/>
      <c r="B9" s="27" t="n"/>
      <c r="C9" s="25" t="n"/>
    </row>
    <row r="10">
      <c r="A10" s="26" t="n"/>
      <c r="B10" s="27" t="n"/>
      <c r="C10" s="25" t="n"/>
    </row>
    <row r="11">
      <c r="A11" s="26" t="n"/>
      <c r="B11" s="27" t="n"/>
      <c r="C11" s="25" t="n"/>
    </row>
    <row r="12">
      <c r="A12" s="26" t="n"/>
      <c r="B12" s="27" t="n"/>
      <c r="C12" s="25" t="n"/>
    </row>
    <row r="13">
      <c r="A13" s="26" t="n"/>
      <c r="B13" s="27" t="n"/>
      <c r="C13" s="25" t="n"/>
    </row>
    <row r="14">
      <c r="A14" s="26" t="n"/>
      <c r="B14" s="27" t="n"/>
      <c r="C14" s="25" t="n"/>
    </row>
    <row r="15">
      <c r="A15" s="26" t="n"/>
      <c r="B15" s="27" t="n"/>
      <c r="C15" s="25" t="n"/>
    </row>
    <row r="16">
      <c r="A16" s="26" t="n"/>
      <c r="B16" s="27" t="n"/>
      <c r="C16" s="25" t="n"/>
    </row>
    <row r="17">
      <c r="A17" s="26" t="n"/>
      <c r="B17" s="27" t="n"/>
      <c r="C17" s="25" t="n"/>
    </row>
    <row r="18">
      <c r="A18" s="26" t="n"/>
      <c r="B18" s="27" t="n"/>
      <c r="C18" s="25" t="n"/>
    </row>
    <row r="19">
      <c r="A19" s="26" t="n"/>
      <c r="B19" s="27" t="n"/>
      <c r="C19" s="25" t="n"/>
    </row>
    <row r="20">
      <c r="A20" s="26" t="n"/>
      <c r="B20" s="27" t="n"/>
      <c r="C20" s="25" t="n"/>
    </row>
    <row r="21">
      <c r="A21" s="26" t="n"/>
      <c r="B21" s="27" t="n"/>
      <c r="C21" s="25" t="n"/>
    </row>
    <row r="22">
      <c r="A22" s="26" t="n"/>
      <c r="B22" s="27" t="n"/>
      <c r="C22" s="25" t="n"/>
    </row>
    <row r="23">
      <c r="A23" s="26" t="n"/>
      <c r="B23" s="27" t="n"/>
      <c r="C23" s="25" t="n"/>
    </row>
    <row r="24">
      <c r="A24" s="26" t="n"/>
      <c r="B24" s="27" t="n"/>
      <c r="C24" s="25"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18" customWidth="1" min="3" max="3"/>
    <col width="15" customWidth="1" min="4" max="4"/>
    <col width="13" customWidth="1" min="5" max="5"/>
    <col width="15" customWidth="1" min="6" max="6"/>
    <col width="15" customWidth="1" min="7" max="7"/>
    <col width="11" customWidth="1" min="8" max="8"/>
    <col width="13" customWidth="1" min="9" max="9"/>
    <col width="10" customWidth="1" min="10" max="10"/>
    <col width="14" customWidth="1" min="11" max="11"/>
  </cols>
  <sheetData>
    <row r="1">
      <c r="A1" s="1" t="inlineStr">
        <is>
          <t>Holdings</t>
        </is>
      </c>
    </row>
    <row r="2">
      <c r="A2" s="2" t="inlineStr">
        <is>
          <t>All calculated. Tickers come from Settings &gt; Target Mix.</t>
        </is>
      </c>
    </row>
    <row r="4">
      <c r="A4" s="24" t="inlineStr">
        <is>
          <t>Ticker</t>
        </is>
      </c>
      <c r="B4" s="24" t="inlineStr">
        <is>
          <t>Units held</t>
        </is>
      </c>
      <c r="C4" s="24" t="inlineStr">
        <is>
          <t>Total cost incl. brokerage ($)</t>
        </is>
      </c>
      <c r="D4" s="24" t="inlineStr">
        <is>
          <t>Average cost / unit ($)</t>
        </is>
      </c>
      <c r="E4" s="24" t="inlineStr">
        <is>
          <t>Latest price ($)</t>
        </is>
      </c>
      <c r="F4" s="24" t="inlineStr">
        <is>
          <t>Market value ($)</t>
        </is>
      </c>
      <c r="G4" s="24" t="inlineStr">
        <is>
          <t>Gain/loss ($)</t>
        </is>
      </c>
      <c r="H4" s="24" t="inlineStr">
        <is>
          <t>Gain/loss %</t>
        </is>
      </c>
      <c r="I4" s="24" t="inlineStr">
        <is>
          <t>Actual % of portfolio</t>
        </is>
      </c>
      <c r="J4" s="24" t="inlineStr">
        <is>
          <t>Target %</t>
        </is>
      </c>
      <c r="K4" s="24" t="inlineStr">
        <is>
          <t>Drift (actual - target)</t>
        </is>
      </c>
    </row>
    <row r="5">
      <c r="A5" s="33">
        <f>IF(Settings!A16="","",Settings!A16)</f>
        <v/>
      </c>
      <c r="B5" s="34">
        <f>IF(A5="","",SUMIFS(Transactions!$D$5:$D$504,Transactions!$B$5:$B$504,A5,Transactions!$C$5:$C$504,"Buy")-SUMIFS(Transactions!$D$5:$D$504,Transactions!$B$5:$B$504,A5,Transactions!$C$5:$C$504,"Sell"))</f>
        <v/>
      </c>
      <c r="C5" s="5">
        <f>IF(A5="","",IF(SUMIFS(Transactions!$D$5:$D$504,Transactions!$B$5:$B$504,A5,Transactions!$C$5:$C$504,"Buy")=0,0,(-SUMIFS(Transactions!$G$5:$G$504,Transactions!$B$5:$B$504,A5,Transactions!$C$5:$C$504,"Buy"))*B5/SUMIFS(Transactions!$D$5:$D$504,Transactions!$B$5:$B$504,A5,Transactions!$C$5:$C$504,"Buy")))</f>
        <v/>
      </c>
      <c r="D5" s="35">
        <f>IF(OR(A5="",N(B5)=0),"",C5/B5)</f>
        <v/>
      </c>
      <c r="E5" s="35">
        <f>IF(A5="","",IFERROR(VLOOKUP(A5,Prices!$A$5:$B$24,2,FALSE),""))</f>
        <v/>
      </c>
      <c r="F5" s="5">
        <f>IF(OR(A5="",E5=""),"",B5*E5)</f>
        <v/>
      </c>
      <c r="G5" s="5">
        <f>IF(F5="","",F5-C5)</f>
        <v/>
      </c>
      <c r="H5" s="7">
        <f>IF(OR(G5="",N(C5)=0),"",G5/C5)</f>
        <v/>
      </c>
      <c r="I5" s="7">
        <f>IF(OR(F5="",N($F$16)=0),"",F5/$F$16)</f>
        <v/>
      </c>
      <c r="J5" s="36">
        <f>IF(A5="","",Settings!B16)</f>
        <v/>
      </c>
      <c r="K5" s="7">
        <f>IF(I5="","",I5-J5)</f>
        <v/>
      </c>
    </row>
    <row r="6">
      <c r="A6" s="33">
        <f>IF(Settings!A17="","",Settings!A17)</f>
        <v/>
      </c>
      <c r="B6" s="34">
        <f>IF(A6="","",SUMIFS(Transactions!$D$5:$D$504,Transactions!$B$5:$B$504,A6,Transactions!$C$5:$C$504,"Buy")-SUMIFS(Transactions!$D$5:$D$504,Transactions!$B$5:$B$504,A6,Transactions!$C$5:$C$504,"Sell"))</f>
        <v/>
      </c>
      <c r="C6" s="5">
        <f>IF(A6="","",IF(SUMIFS(Transactions!$D$5:$D$504,Transactions!$B$5:$B$504,A6,Transactions!$C$5:$C$504,"Buy")=0,0,(-SUMIFS(Transactions!$G$5:$G$504,Transactions!$B$5:$B$504,A6,Transactions!$C$5:$C$504,"Buy"))*B6/SUMIFS(Transactions!$D$5:$D$504,Transactions!$B$5:$B$504,A6,Transactions!$C$5:$C$504,"Buy")))</f>
        <v/>
      </c>
      <c r="D6" s="35">
        <f>IF(OR(A6="",N(B6)=0),"",C6/B6)</f>
        <v/>
      </c>
      <c r="E6" s="35">
        <f>IF(A6="","",IFERROR(VLOOKUP(A6,Prices!$A$5:$B$24,2,FALSE),""))</f>
        <v/>
      </c>
      <c r="F6" s="5">
        <f>IF(OR(A6="",E6=""),"",B6*E6)</f>
        <v/>
      </c>
      <c r="G6" s="5">
        <f>IF(F6="","",F6-C6)</f>
        <v/>
      </c>
      <c r="H6" s="7">
        <f>IF(OR(G6="",N(C6)=0),"",G6/C6)</f>
        <v/>
      </c>
      <c r="I6" s="7">
        <f>IF(OR(F6="",N($F$16)=0),"",F6/$F$16)</f>
        <v/>
      </c>
      <c r="J6" s="36">
        <f>IF(A6="","",Settings!B17)</f>
        <v/>
      </c>
      <c r="K6" s="7">
        <f>IF(I6="","",I6-J6)</f>
        <v/>
      </c>
    </row>
    <row r="7">
      <c r="A7" s="33">
        <f>IF(Settings!A18="","",Settings!A18)</f>
        <v/>
      </c>
      <c r="B7" s="34">
        <f>IF(A7="","",SUMIFS(Transactions!$D$5:$D$504,Transactions!$B$5:$B$504,A7,Transactions!$C$5:$C$504,"Buy")-SUMIFS(Transactions!$D$5:$D$504,Transactions!$B$5:$B$504,A7,Transactions!$C$5:$C$504,"Sell"))</f>
        <v/>
      </c>
      <c r="C7" s="5">
        <f>IF(A7="","",IF(SUMIFS(Transactions!$D$5:$D$504,Transactions!$B$5:$B$504,A7,Transactions!$C$5:$C$504,"Buy")=0,0,(-SUMIFS(Transactions!$G$5:$G$504,Transactions!$B$5:$B$504,A7,Transactions!$C$5:$C$504,"Buy"))*B7/SUMIFS(Transactions!$D$5:$D$504,Transactions!$B$5:$B$504,A7,Transactions!$C$5:$C$504,"Buy")))</f>
        <v/>
      </c>
      <c r="D7" s="35">
        <f>IF(OR(A7="",N(B7)=0),"",C7/B7)</f>
        <v/>
      </c>
      <c r="E7" s="35">
        <f>IF(A7="","",IFERROR(VLOOKUP(A7,Prices!$A$5:$B$24,2,FALSE),""))</f>
        <v/>
      </c>
      <c r="F7" s="5">
        <f>IF(OR(A7="",E7=""),"",B7*E7)</f>
        <v/>
      </c>
      <c r="G7" s="5">
        <f>IF(F7="","",F7-C7)</f>
        <v/>
      </c>
      <c r="H7" s="7">
        <f>IF(OR(G7="",N(C7)=0),"",G7/C7)</f>
        <v/>
      </c>
      <c r="I7" s="7">
        <f>IF(OR(F7="",N($F$16)=0),"",F7/$F$16)</f>
        <v/>
      </c>
      <c r="J7" s="36">
        <f>IF(A7="","",Settings!B18)</f>
        <v/>
      </c>
      <c r="K7" s="7">
        <f>IF(I7="","",I7-J7)</f>
        <v/>
      </c>
    </row>
    <row r="8">
      <c r="A8" s="33">
        <f>IF(Settings!A19="","",Settings!A19)</f>
        <v/>
      </c>
      <c r="B8" s="34">
        <f>IF(A8="","",SUMIFS(Transactions!$D$5:$D$504,Transactions!$B$5:$B$504,A8,Transactions!$C$5:$C$504,"Buy")-SUMIFS(Transactions!$D$5:$D$504,Transactions!$B$5:$B$504,A8,Transactions!$C$5:$C$504,"Sell"))</f>
        <v/>
      </c>
      <c r="C8" s="5">
        <f>IF(A8="","",IF(SUMIFS(Transactions!$D$5:$D$504,Transactions!$B$5:$B$504,A8,Transactions!$C$5:$C$504,"Buy")=0,0,(-SUMIFS(Transactions!$G$5:$G$504,Transactions!$B$5:$B$504,A8,Transactions!$C$5:$C$504,"Buy"))*B8/SUMIFS(Transactions!$D$5:$D$504,Transactions!$B$5:$B$504,A8,Transactions!$C$5:$C$504,"Buy")))</f>
        <v/>
      </c>
      <c r="D8" s="35">
        <f>IF(OR(A8="",N(B8)=0),"",C8/B8)</f>
        <v/>
      </c>
      <c r="E8" s="35">
        <f>IF(A8="","",IFERROR(VLOOKUP(A8,Prices!$A$5:$B$24,2,FALSE),""))</f>
        <v/>
      </c>
      <c r="F8" s="5">
        <f>IF(OR(A8="",E8=""),"",B8*E8)</f>
        <v/>
      </c>
      <c r="G8" s="5">
        <f>IF(F8="","",F8-C8)</f>
        <v/>
      </c>
      <c r="H8" s="7">
        <f>IF(OR(G8="",N(C8)=0),"",G8/C8)</f>
        <v/>
      </c>
      <c r="I8" s="7">
        <f>IF(OR(F8="",N($F$16)=0),"",F8/$F$16)</f>
        <v/>
      </c>
      <c r="J8" s="36">
        <f>IF(A8="","",Settings!B19)</f>
        <v/>
      </c>
      <c r="K8" s="7">
        <f>IF(I8="","",I8-J8)</f>
        <v/>
      </c>
    </row>
    <row r="9">
      <c r="A9" s="33">
        <f>IF(Settings!A20="","",Settings!A20)</f>
        <v/>
      </c>
      <c r="B9" s="34">
        <f>IF(A9="","",SUMIFS(Transactions!$D$5:$D$504,Transactions!$B$5:$B$504,A9,Transactions!$C$5:$C$504,"Buy")-SUMIFS(Transactions!$D$5:$D$504,Transactions!$B$5:$B$504,A9,Transactions!$C$5:$C$504,"Sell"))</f>
        <v/>
      </c>
      <c r="C9" s="5">
        <f>IF(A9="","",IF(SUMIFS(Transactions!$D$5:$D$504,Transactions!$B$5:$B$504,A9,Transactions!$C$5:$C$504,"Buy")=0,0,(-SUMIFS(Transactions!$G$5:$G$504,Transactions!$B$5:$B$504,A9,Transactions!$C$5:$C$504,"Buy"))*B9/SUMIFS(Transactions!$D$5:$D$504,Transactions!$B$5:$B$504,A9,Transactions!$C$5:$C$504,"Buy")))</f>
        <v/>
      </c>
      <c r="D9" s="35">
        <f>IF(OR(A9="",N(B9)=0),"",C9/B9)</f>
        <v/>
      </c>
      <c r="E9" s="35">
        <f>IF(A9="","",IFERROR(VLOOKUP(A9,Prices!$A$5:$B$24,2,FALSE),""))</f>
        <v/>
      </c>
      <c r="F9" s="5">
        <f>IF(OR(A9="",E9=""),"",B9*E9)</f>
        <v/>
      </c>
      <c r="G9" s="5">
        <f>IF(F9="","",F9-C9)</f>
        <v/>
      </c>
      <c r="H9" s="7">
        <f>IF(OR(G9="",N(C9)=0),"",G9/C9)</f>
        <v/>
      </c>
      <c r="I9" s="7">
        <f>IF(OR(F9="",N($F$16)=0),"",F9/$F$16)</f>
        <v/>
      </c>
      <c r="J9" s="36">
        <f>IF(A9="","",Settings!B20)</f>
        <v/>
      </c>
      <c r="K9" s="7">
        <f>IF(I9="","",I9-J9)</f>
        <v/>
      </c>
    </row>
    <row r="10">
      <c r="A10" s="33">
        <f>IF(Settings!A21="","",Settings!A21)</f>
        <v/>
      </c>
      <c r="B10" s="34">
        <f>IF(A10="","",SUMIFS(Transactions!$D$5:$D$504,Transactions!$B$5:$B$504,A10,Transactions!$C$5:$C$504,"Buy")-SUMIFS(Transactions!$D$5:$D$504,Transactions!$B$5:$B$504,A10,Transactions!$C$5:$C$504,"Sell"))</f>
        <v/>
      </c>
      <c r="C10" s="5">
        <f>IF(A10="","",IF(SUMIFS(Transactions!$D$5:$D$504,Transactions!$B$5:$B$504,A10,Transactions!$C$5:$C$504,"Buy")=0,0,(-SUMIFS(Transactions!$G$5:$G$504,Transactions!$B$5:$B$504,A10,Transactions!$C$5:$C$504,"Buy"))*B10/SUMIFS(Transactions!$D$5:$D$504,Transactions!$B$5:$B$504,A10,Transactions!$C$5:$C$504,"Buy")))</f>
        <v/>
      </c>
      <c r="D10" s="35">
        <f>IF(OR(A10="",N(B10)=0),"",C10/B10)</f>
        <v/>
      </c>
      <c r="E10" s="35">
        <f>IF(A10="","",IFERROR(VLOOKUP(A10,Prices!$A$5:$B$24,2,FALSE),""))</f>
        <v/>
      </c>
      <c r="F10" s="5">
        <f>IF(OR(A10="",E10=""),"",B10*E10)</f>
        <v/>
      </c>
      <c r="G10" s="5">
        <f>IF(F10="","",F10-C10)</f>
        <v/>
      </c>
      <c r="H10" s="7">
        <f>IF(OR(G10="",N(C10)=0),"",G10/C10)</f>
        <v/>
      </c>
      <c r="I10" s="7">
        <f>IF(OR(F10="",N($F$16)=0),"",F10/$F$16)</f>
        <v/>
      </c>
      <c r="J10" s="36">
        <f>IF(A10="","",Settings!B21)</f>
        <v/>
      </c>
      <c r="K10" s="7">
        <f>IF(I10="","",I10-J10)</f>
        <v/>
      </c>
    </row>
    <row r="11">
      <c r="A11" s="33">
        <f>IF(Settings!A22="","",Settings!A22)</f>
        <v/>
      </c>
      <c r="B11" s="34">
        <f>IF(A11="","",SUMIFS(Transactions!$D$5:$D$504,Transactions!$B$5:$B$504,A11,Transactions!$C$5:$C$504,"Buy")-SUMIFS(Transactions!$D$5:$D$504,Transactions!$B$5:$B$504,A11,Transactions!$C$5:$C$504,"Sell"))</f>
        <v/>
      </c>
      <c r="C11" s="5">
        <f>IF(A11="","",IF(SUMIFS(Transactions!$D$5:$D$504,Transactions!$B$5:$B$504,A11,Transactions!$C$5:$C$504,"Buy")=0,0,(-SUMIFS(Transactions!$G$5:$G$504,Transactions!$B$5:$B$504,A11,Transactions!$C$5:$C$504,"Buy"))*B11/SUMIFS(Transactions!$D$5:$D$504,Transactions!$B$5:$B$504,A11,Transactions!$C$5:$C$504,"Buy")))</f>
        <v/>
      </c>
      <c r="D11" s="35">
        <f>IF(OR(A11="",N(B11)=0),"",C11/B11)</f>
        <v/>
      </c>
      <c r="E11" s="35">
        <f>IF(A11="","",IFERROR(VLOOKUP(A11,Prices!$A$5:$B$24,2,FALSE),""))</f>
        <v/>
      </c>
      <c r="F11" s="5">
        <f>IF(OR(A11="",E11=""),"",B11*E11)</f>
        <v/>
      </c>
      <c r="G11" s="5">
        <f>IF(F11="","",F11-C11)</f>
        <v/>
      </c>
      <c r="H11" s="7">
        <f>IF(OR(G11="",N(C11)=0),"",G11/C11)</f>
        <v/>
      </c>
      <c r="I11" s="7">
        <f>IF(OR(F11="",N($F$16)=0),"",F11/$F$16)</f>
        <v/>
      </c>
      <c r="J11" s="36">
        <f>IF(A11="","",Settings!B22)</f>
        <v/>
      </c>
      <c r="K11" s="7">
        <f>IF(I11="","",I11-J11)</f>
        <v/>
      </c>
    </row>
    <row r="12">
      <c r="A12" s="33">
        <f>IF(Settings!A23="","",Settings!A23)</f>
        <v/>
      </c>
      <c r="B12" s="34">
        <f>IF(A12="","",SUMIFS(Transactions!$D$5:$D$504,Transactions!$B$5:$B$504,A12,Transactions!$C$5:$C$504,"Buy")-SUMIFS(Transactions!$D$5:$D$504,Transactions!$B$5:$B$504,A12,Transactions!$C$5:$C$504,"Sell"))</f>
        <v/>
      </c>
      <c r="C12" s="5">
        <f>IF(A12="","",IF(SUMIFS(Transactions!$D$5:$D$504,Transactions!$B$5:$B$504,A12,Transactions!$C$5:$C$504,"Buy")=0,0,(-SUMIFS(Transactions!$G$5:$G$504,Transactions!$B$5:$B$504,A12,Transactions!$C$5:$C$504,"Buy"))*B12/SUMIFS(Transactions!$D$5:$D$504,Transactions!$B$5:$B$504,A12,Transactions!$C$5:$C$504,"Buy")))</f>
        <v/>
      </c>
      <c r="D12" s="35">
        <f>IF(OR(A12="",N(B12)=0),"",C12/B12)</f>
        <v/>
      </c>
      <c r="E12" s="35">
        <f>IF(A12="","",IFERROR(VLOOKUP(A12,Prices!$A$5:$B$24,2,FALSE),""))</f>
        <v/>
      </c>
      <c r="F12" s="5">
        <f>IF(OR(A12="",E12=""),"",B12*E12)</f>
        <v/>
      </c>
      <c r="G12" s="5">
        <f>IF(F12="","",F12-C12)</f>
        <v/>
      </c>
      <c r="H12" s="7">
        <f>IF(OR(G12="",N(C12)=0),"",G12/C12)</f>
        <v/>
      </c>
      <c r="I12" s="7">
        <f>IF(OR(F12="",N($F$16)=0),"",F12/$F$16)</f>
        <v/>
      </c>
      <c r="J12" s="36">
        <f>IF(A12="","",Settings!B23)</f>
        <v/>
      </c>
      <c r="K12" s="7">
        <f>IF(I12="","",I12-J12)</f>
        <v/>
      </c>
    </row>
    <row r="13">
      <c r="A13" s="33">
        <f>IF(Settings!A24="","",Settings!A24)</f>
        <v/>
      </c>
      <c r="B13" s="34">
        <f>IF(A13="","",SUMIFS(Transactions!$D$5:$D$504,Transactions!$B$5:$B$504,A13,Transactions!$C$5:$C$504,"Buy")-SUMIFS(Transactions!$D$5:$D$504,Transactions!$B$5:$B$504,A13,Transactions!$C$5:$C$504,"Sell"))</f>
        <v/>
      </c>
      <c r="C13" s="5">
        <f>IF(A13="","",IF(SUMIFS(Transactions!$D$5:$D$504,Transactions!$B$5:$B$504,A13,Transactions!$C$5:$C$504,"Buy")=0,0,(-SUMIFS(Transactions!$G$5:$G$504,Transactions!$B$5:$B$504,A13,Transactions!$C$5:$C$504,"Buy"))*B13/SUMIFS(Transactions!$D$5:$D$504,Transactions!$B$5:$B$504,A13,Transactions!$C$5:$C$504,"Buy")))</f>
        <v/>
      </c>
      <c r="D13" s="35">
        <f>IF(OR(A13="",N(B13)=0),"",C13/B13)</f>
        <v/>
      </c>
      <c r="E13" s="35">
        <f>IF(A13="","",IFERROR(VLOOKUP(A13,Prices!$A$5:$B$24,2,FALSE),""))</f>
        <v/>
      </c>
      <c r="F13" s="5">
        <f>IF(OR(A13="",E13=""),"",B13*E13)</f>
        <v/>
      </c>
      <c r="G13" s="5">
        <f>IF(F13="","",F13-C13)</f>
        <v/>
      </c>
      <c r="H13" s="7">
        <f>IF(OR(G13="",N(C13)=0),"",G13/C13)</f>
        <v/>
      </c>
      <c r="I13" s="7">
        <f>IF(OR(F13="",N($F$16)=0),"",F13/$F$16)</f>
        <v/>
      </c>
      <c r="J13" s="36">
        <f>IF(A13="","",Settings!B24)</f>
        <v/>
      </c>
      <c r="K13" s="7">
        <f>IF(I13="","",I13-J13)</f>
        <v/>
      </c>
    </row>
    <row r="14">
      <c r="A14" s="33">
        <f>IF(Settings!A25="","",Settings!A25)</f>
        <v/>
      </c>
      <c r="B14" s="34">
        <f>IF(A14="","",SUMIFS(Transactions!$D$5:$D$504,Transactions!$B$5:$B$504,A14,Transactions!$C$5:$C$504,"Buy")-SUMIFS(Transactions!$D$5:$D$504,Transactions!$B$5:$B$504,A14,Transactions!$C$5:$C$504,"Sell"))</f>
        <v/>
      </c>
      <c r="C14" s="5">
        <f>IF(A14="","",IF(SUMIFS(Transactions!$D$5:$D$504,Transactions!$B$5:$B$504,A14,Transactions!$C$5:$C$504,"Buy")=0,0,(-SUMIFS(Transactions!$G$5:$G$504,Transactions!$B$5:$B$504,A14,Transactions!$C$5:$C$504,"Buy"))*B14/SUMIFS(Transactions!$D$5:$D$504,Transactions!$B$5:$B$504,A14,Transactions!$C$5:$C$504,"Buy")))</f>
        <v/>
      </c>
      <c r="D14" s="35">
        <f>IF(OR(A14="",N(B14)=0),"",C14/B14)</f>
        <v/>
      </c>
      <c r="E14" s="35">
        <f>IF(A14="","",IFERROR(VLOOKUP(A14,Prices!$A$5:$B$24,2,FALSE),""))</f>
        <v/>
      </c>
      <c r="F14" s="5">
        <f>IF(OR(A14="",E14=""),"",B14*E14)</f>
        <v/>
      </c>
      <c r="G14" s="5">
        <f>IF(F14="","",F14-C14)</f>
        <v/>
      </c>
      <c r="H14" s="7">
        <f>IF(OR(G14="",N(C14)=0),"",G14/C14)</f>
        <v/>
      </c>
      <c r="I14" s="7">
        <f>IF(OR(F14="",N($F$16)=0),"",F14/$F$16)</f>
        <v/>
      </c>
      <c r="J14" s="36">
        <f>IF(A14="","",Settings!B25)</f>
        <v/>
      </c>
      <c r="K14" s="7">
        <f>IF(I14="","",I14-J14)</f>
        <v/>
      </c>
    </row>
    <row r="16">
      <c r="A16" s="9" t="inlineStr">
        <is>
          <t>TOTAL</t>
        </is>
      </c>
      <c r="C16" s="37">
        <f>SUM(C5:C14)</f>
        <v/>
      </c>
      <c r="F16" s="37">
        <f>SUM(F5:F14)</f>
        <v/>
      </c>
      <c r="G16" s="37">
        <f>F16-C16</f>
        <v/>
      </c>
      <c r="H16" s="38">
        <f>IF(C16=0,"",G16/C16)</f>
        <v/>
      </c>
    </row>
    <row r="18">
      <c r="A18" s="2" t="inlineStr">
        <is>
          <t>Red drift = more than 5 percentage points off target. Fix it at the yearly rebalance by directing new money to the underweight fund (cheaper than selling).</t>
        </is>
      </c>
    </row>
  </sheetData>
  <conditionalFormatting sqref="K5:K14">
    <cfRule type="expression" priority="1" dxfId="0">
      <formula>AND(K5&lt;&gt;"",ABS(K5)&gt;0.05)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2026-10-18T13:07:55Z</dcterms:created>
  <dcterms:modified xmlns:dcterms="http://purl.org/dc/terms/" xmlns:xsi="http://www.w3.org/2001/XMLSchema-instance" xsi:type="dcterms:W3CDTF">2026-10-18T13:07:55Z</dcterms:modified>
</cp:coreProperties>
</file>